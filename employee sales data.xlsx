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530"/>
  </bookViews>
  <sheets>
    <sheet name="Sheet1" sheetId="2" r:id="rId1"/>
  </sheets>
  <calcPr calcId="0"/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2" i="2"/>
  <c r="I3" i="2"/>
  <c r="J3" i="2" s="1"/>
  <c r="K3" i="2" s="1"/>
  <c r="I4" i="2"/>
  <c r="J4" i="2" s="1"/>
  <c r="K4" i="2" s="1"/>
  <c r="I5" i="2"/>
  <c r="J5" i="2" s="1"/>
  <c r="K5" i="2" s="1"/>
  <c r="I6" i="2"/>
  <c r="J6" i="2" s="1"/>
  <c r="K6" i="2" s="1"/>
  <c r="I7" i="2"/>
  <c r="J7" i="2" s="1"/>
  <c r="K7" i="2" s="1"/>
  <c r="I8" i="2"/>
  <c r="J8" i="2" s="1"/>
  <c r="K8" i="2" s="1"/>
  <c r="I9" i="2"/>
  <c r="J9" i="2" s="1"/>
  <c r="K9" i="2" s="1"/>
  <c r="I10" i="2"/>
  <c r="J10" i="2" s="1"/>
  <c r="K10" i="2" s="1"/>
  <c r="I11" i="2"/>
  <c r="J11" i="2" s="1"/>
  <c r="K11" i="2" s="1"/>
  <c r="I12" i="2"/>
  <c r="J12" i="2" s="1"/>
  <c r="K12" i="2" s="1"/>
  <c r="I13" i="2"/>
  <c r="J13" i="2" s="1"/>
  <c r="K13" i="2" s="1"/>
  <c r="I14" i="2"/>
  <c r="J14" i="2" s="1"/>
  <c r="K14" i="2" s="1"/>
  <c r="I15" i="2"/>
  <c r="J15" i="2" s="1"/>
  <c r="K15" i="2" s="1"/>
  <c r="I16" i="2"/>
  <c r="J16" i="2" s="1"/>
  <c r="K16" i="2" s="1"/>
  <c r="I17" i="2"/>
  <c r="J17" i="2" s="1"/>
  <c r="K17" i="2" s="1"/>
  <c r="I18" i="2"/>
  <c r="J18" i="2" s="1"/>
  <c r="K18" i="2" s="1"/>
  <c r="I19" i="2"/>
  <c r="J19" i="2" s="1"/>
  <c r="K19" i="2" s="1"/>
  <c r="I20" i="2"/>
  <c r="J20" i="2" s="1"/>
  <c r="K20" i="2" s="1"/>
  <c r="I21" i="2"/>
  <c r="J21" i="2" s="1"/>
  <c r="K21" i="2" s="1"/>
  <c r="I22" i="2"/>
  <c r="J22" i="2" s="1"/>
  <c r="K22" i="2" s="1"/>
  <c r="I23" i="2"/>
  <c r="J23" i="2" s="1"/>
  <c r="K23" i="2" s="1"/>
  <c r="I24" i="2"/>
  <c r="J24" i="2" s="1"/>
  <c r="K24" i="2" s="1"/>
  <c r="I25" i="2"/>
  <c r="J25" i="2" s="1"/>
  <c r="K25" i="2" s="1"/>
  <c r="I26" i="2"/>
  <c r="J26" i="2" s="1"/>
  <c r="K26" i="2" s="1"/>
  <c r="I27" i="2"/>
  <c r="J27" i="2" s="1"/>
  <c r="K27" i="2" s="1"/>
  <c r="I28" i="2"/>
  <c r="J28" i="2" s="1"/>
  <c r="K28" i="2" s="1"/>
  <c r="I29" i="2"/>
  <c r="J29" i="2" s="1"/>
  <c r="K29" i="2" s="1"/>
  <c r="I30" i="2"/>
  <c r="J30" i="2" s="1"/>
  <c r="K30" i="2" s="1"/>
  <c r="I31" i="2"/>
  <c r="J31" i="2" s="1"/>
  <c r="K31" i="2" s="1"/>
  <c r="I32" i="2"/>
  <c r="J32" i="2" s="1"/>
  <c r="K32" i="2" s="1"/>
  <c r="I33" i="2"/>
  <c r="J33" i="2" s="1"/>
  <c r="K33" i="2" s="1"/>
  <c r="I34" i="2"/>
  <c r="J34" i="2" s="1"/>
  <c r="K34" i="2" s="1"/>
  <c r="I35" i="2"/>
  <c r="J35" i="2" s="1"/>
  <c r="K35" i="2" s="1"/>
  <c r="I36" i="2"/>
  <c r="J36" i="2" s="1"/>
  <c r="K36" i="2" s="1"/>
  <c r="I37" i="2"/>
  <c r="J37" i="2" s="1"/>
  <c r="K37" i="2" s="1"/>
  <c r="I38" i="2"/>
  <c r="J38" i="2" s="1"/>
  <c r="K38" i="2" s="1"/>
  <c r="I39" i="2"/>
  <c r="J39" i="2" s="1"/>
  <c r="K39" i="2" s="1"/>
  <c r="I40" i="2"/>
  <c r="J40" i="2" s="1"/>
  <c r="K40" i="2" s="1"/>
  <c r="I41" i="2"/>
  <c r="J41" i="2" s="1"/>
  <c r="K41" i="2" s="1"/>
  <c r="I42" i="2"/>
  <c r="J42" i="2" s="1"/>
  <c r="K42" i="2" s="1"/>
  <c r="I43" i="2"/>
  <c r="J43" i="2" s="1"/>
  <c r="K43" i="2" s="1"/>
  <c r="I44" i="2"/>
  <c r="J44" i="2" s="1"/>
  <c r="K44" i="2" s="1"/>
  <c r="I45" i="2"/>
  <c r="J45" i="2" s="1"/>
  <c r="K45" i="2" s="1"/>
  <c r="I46" i="2"/>
  <c r="J46" i="2" s="1"/>
  <c r="K46" i="2" s="1"/>
  <c r="I47" i="2"/>
  <c r="J47" i="2" s="1"/>
  <c r="K47" i="2" s="1"/>
  <c r="I48" i="2"/>
  <c r="J48" i="2" s="1"/>
  <c r="K48" i="2" s="1"/>
  <c r="I49" i="2"/>
  <c r="J49" i="2" s="1"/>
  <c r="K49" i="2" s="1"/>
  <c r="I50" i="2"/>
  <c r="J50" i="2" s="1"/>
  <c r="K50" i="2" s="1"/>
  <c r="I51" i="2"/>
  <c r="J51" i="2" s="1"/>
  <c r="K51" i="2" s="1"/>
  <c r="I52" i="2"/>
  <c r="J52" i="2" s="1"/>
  <c r="K52" i="2" s="1"/>
  <c r="I53" i="2"/>
  <c r="J53" i="2" s="1"/>
  <c r="K53" i="2" s="1"/>
  <c r="I54" i="2"/>
  <c r="J54" i="2" s="1"/>
  <c r="K54" i="2" s="1"/>
  <c r="I55" i="2"/>
  <c r="J55" i="2" s="1"/>
  <c r="K55" i="2" s="1"/>
  <c r="I56" i="2"/>
  <c r="J56" i="2" s="1"/>
  <c r="K56" i="2" s="1"/>
  <c r="I57" i="2"/>
  <c r="J57" i="2" s="1"/>
  <c r="K57" i="2" s="1"/>
  <c r="I58" i="2"/>
  <c r="J58" i="2" s="1"/>
  <c r="K58" i="2" s="1"/>
  <c r="I59" i="2"/>
  <c r="J59" i="2" s="1"/>
  <c r="K59" i="2" s="1"/>
  <c r="I60" i="2"/>
  <c r="J60" i="2" s="1"/>
  <c r="K60" i="2" s="1"/>
  <c r="I61" i="2"/>
  <c r="J61" i="2" s="1"/>
  <c r="K61" i="2" s="1"/>
  <c r="I62" i="2"/>
  <c r="J62" i="2" s="1"/>
  <c r="K62" i="2" s="1"/>
  <c r="I63" i="2"/>
  <c r="J63" i="2" s="1"/>
  <c r="K63" i="2" s="1"/>
  <c r="I64" i="2"/>
  <c r="J64" i="2" s="1"/>
  <c r="K64" i="2" s="1"/>
  <c r="I65" i="2"/>
  <c r="J65" i="2" s="1"/>
  <c r="K65" i="2" s="1"/>
  <c r="I66" i="2"/>
  <c r="J66" i="2" s="1"/>
  <c r="K66" i="2" s="1"/>
  <c r="I67" i="2"/>
  <c r="J67" i="2" s="1"/>
  <c r="K67" i="2" s="1"/>
  <c r="I68" i="2"/>
  <c r="J68" i="2" s="1"/>
  <c r="K68" i="2" s="1"/>
  <c r="I69" i="2"/>
  <c r="J69" i="2" s="1"/>
  <c r="K69" i="2" s="1"/>
  <c r="I70" i="2"/>
  <c r="J70" i="2" s="1"/>
  <c r="K70" i="2" s="1"/>
  <c r="I71" i="2"/>
  <c r="J71" i="2" s="1"/>
  <c r="K71" i="2" s="1"/>
  <c r="I72" i="2"/>
  <c r="J72" i="2" s="1"/>
  <c r="K72" i="2" s="1"/>
  <c r="I73" i="2"/>
  <c r="J73" i="2" s="1"/>
  <c r="K73" i="2" s="1"/>
  <c r="I74" i="2"/>
  <c r="J74" i="2" s="1"/>
  <c r="K74" i="2" s="1"/>
  <c r="I75" i="2"/>
  <c r="J75" i="2" s="1"/>
  <c r="K75" i="2" s="1"/>
  <c r="I76" i="2"/>
  <c r="J76" i="2" s="1"/>
  <c r="K76" i="2" s="1"/>
  <c r="I77" i="2"/>
  <c r="J77" i="2" s="1"/>
  <c r="K77" i="2" s="1"/>
  <c r="I78" i="2"/>
  <c r="J78" i="2" s="1"/>
  <c r="K78" i="2" s="1"/>
  <c r="I79" i="2"/>
  <c r="J79" i="2" s="1"/>
  <c r="K79" i="2" s="1"/>
  <c r="I80" i="2"/>
  <c r="J80" i="2" s="1"/>
  <c r="K80" i="2" s="1"/>
  <c r="I81" i="2"/>
  <c r="J81" i="2" s="1"/>
  <c r="K81" i="2" s="1"/>
  <c r="I82" i="2"/>
  <c r="J82" i="2" s="1"/>
  <c r="K82" i="2" s="1"/>
  <c r="I83" i="2"/>
  <c r="J83" i="2" s="1"/>
  <c r="K83" i="2" s="1"/>
  <c r="I84" i="2"/>
  <c r="J84" i="2" s="1"/>
  <c r="K84" i="2" s="1"/>
  <c r="I85" i="2"/>
  <c r="J85" i="2" s="1"/>
  <c r="K85" i="2" s="1"/>
  <c r="I86" i="2"/>
  <c r="J86" i="2" s="1"/>
  <c r="K86" i="2" s="1"/>
  <c r="I87" i="2"/>
  <c r="J87" i="2" s="1"/>
  <c r="K87" i="2" s="1"/>
  <c r="I88" i="2"/>
  <c r="J88" i="2" s="1"/>
  <c r="K88" i="2" s="1"/>
  <c r="I89" i="2"/>
  <c r="J89" i="2" s="1"/>
  <c r="K89" i="2" s="1"/>
  <c r="I90" i="2"/>
  <c r="J90" i="2" s="1"/>
  <c r="K90" i="2" s="1"/>
  <c r="I91" i="2"/>
  <c r="J91" i="2" s="1"/>
  <c r="K91" i="2" s="1"/>
  <c r="I92" i="2"/>
  <c r="J92" i="2" s="1"/>
  <c r="K92" i="2" s="1"/>
  <c r="I93" i="2"/>
  <c r="J93" i="2" s="1"/>
  <c r="K93" i="2" s="1"/>
  <c r="I94" i="2"/>
  <c r="J94" i="2" s="1"/>
  <c r="K94" i="2" s="1"/>
  <c r="I95" i="2"/>
  <c r="J95" i="2" s="1"/>
  <c r="K95" i="2" s="1"/>
  <c r="I96" i="2"/>
  <c r="J96" i="2" s="1"/>
  <c r="K96" i="2" s="1"/>
  <c r="I97" i="2"/>
  <c r="J97" i="2" s="1"/>
  <c r="K97" i="2" s="1"/>
  <c r="I98" i="2"/>
  <c r="J98" i="2" s="1"/>
  <c r="K98" i="2" s="1"/>
  <c r="I99" i="2"/>
  <c r="J99" i="2" s="1"/>
  <c r="K99" i="2" s="1"/>
  <c r="I100" i="2"/>
  <c r="J100" i="2" s="1"/>
  <c r="K100" i="2" s="1"/>
  <c r="I101" i="2"/>
  <c r="J101" i="2" s="1"/>
  <c r="K101" i="2" s="1"/>
  <c r="I102" i="2"/>
  <c r="J102" i="2" s="1"/>
  <c r="K102" i="2" s="1"/>
  <c r="I103" i="2"/>
  <c r="J103" i="2" s="1"/>
  <c r="K103" i="2" s="1"/>
  <c r="I104" i="2"/>
  <c r="J104" i="2" s="1"/>
  <c r="K104" i="2" s="1"/>
  <c r="I105" i="2"/>
  <c r="J105" i="2" s="1"/>
  <c r="K105" i="2" s="1"/>
  <c r="I106" i="2"/>
  <c r="J106" i="2" s="1"/>
  <c r="K106" i="2" s="1"/>
  <c r="I107" i="2"/>
  <c r="J107" i="2" s="1"/>
  <c r="K107" i="2" s="1"/>
  <c r="I108" i="2"/>
  <c r="J108" i="2" s="1"/>
  <c r="K108" i="2" s="1"/>
  <c r="I109" i="2"/>
  <c r="J109" i="2" s="1"/>
  <c r="K109" i="2" s="1"/>
  <c r="I110" i="2"/>
  <c r="J110" i="2" s="1"/>
  <c r="K110" i="2" s="1"/>
  <c r="I111" i="2"/>
  <c r="J111" i="2" s="1"/>
  <c r="K111" i="2" s="1"/>
  <c r="I112" i="2"/>
  <c r="J112" i="2" s="1"/>
  <c r="K112" i="2" s="1"/>
  <c r="I113" i="2"/>
  <c r="J113" i="2" s="1"/>
  <c r="K113" i="2" s="1"/>
  <c r="I114" i="2"/>
  <c r="J114" i="2" s="1"/>
  <c r="K114" i="2" s="1"/>
  <c r="I115" i="2"/>
  <c r="J115" i="2" s="1"/>
  <c r="K115" i="2" s="1"/>
  <c r="I116" i="2"/>
  <c r="J116" i="2" s="1"/>
  <c r="K116" i="2" s="1"/>
  <c r="I117" i="2"/>
  <c r="J117" i="2" s="1"/>
  <c r="K117" i="2" s="1"/>
  <c r="I118" i="2"/>
  <c r="J118" i="2" s="1"/>
  <c r="K118" i="2" s="1"/>
  <c r="I119" i="2"/>
  <c r="J119" i="2" s="1"/>
  <c r="K119" i="2" s="1"/>
  <c r="I120" i="2"/>
  <c r="J120" i="2" s="1"/>
  <c r="K120" i="2" s="1"/>
  <c r="I121" i="2"/>
  <c r="J121" i="2" s="1"/>
  <c r="K121" i="2" s="1"/>
  <c r="I122" i="2"/>
  <c r="J122" i="2" s="1"/>
  <c r="K122" i="2" s="1"/>
  <c r="I123" i="2"/>
  <c r="J123" i="2" s="1"/>
  <c r="K123" i="2" s="1"/>
  <c r="I124" i="2"/>
  <c r="J124" i="2" s="1"/>
  <c r="K124" i="2" s="1"/>
  <c r="I125" i="2"/>
  <c r="J125" i="2" s="1"/>
  <c r="K125" i="2" s="1"/>
  <c r="I126" i="2"/>
  <c r="J126" i="2" s="1"/>
  <c r="K126" i="2" s="1"/>
  <c r="I127" i="2"/>
  <c r="J127" i="2" s="1"/>
  <c r="K127" i="2" s="1"/>
  <c r="I128" i="2"/>
  <c r="J128" i="2" s="1"/>
  <c r="K128" i="2" s="1"/>
  <c r="I129" i="2"/>
  <c r="J129" i="2" s="1"/>
  <c r="K129" i="2" s="1"/>
  <c r="I130" i="2"/>
  <c r="J130" i="2" s="1"/>
  <c r="K130" i="2" s="1"/>
  <c r="I131" i="2"/>
  <c r="J131" i="2" s="1"/>
  <c r="K131" i="2" s="1"/>
  <c r="I132" i="2"/>
  <c r="J132" i="2" s="1"/>
  <c r="K132" i="2" s="1"/>
  <c r="I133" i="2"/>
  <c r="J133" i="2" s="1"/>
  <c r="K133" i="2" s="1"/>
  <c r="I134" i="2"/>
  <c r="J134" i="2" s="1"/>
  <c r="K134" i="2" s="1"/>
  <c r="I135" i="2"/>
  <c r="J135" i="2" s="1"/>
  <c r="K135" i="2" s="1"/>
  <c r="I136" i="2"/>
  <c r="J136" i="2" s="1"/>
  <c r="K136" i="2" s="1"/>
  <c r="I137" i="2"/>
  <c r="J137" i="2" s="1"/>
  <c r="K137" i="2" s="1"/>
  <c r="I138" i="2"/>
  <c r="J138" i="2" s="1"/>
  <c r="K138" i="2" s="1"/>
  <c r="I139" i="2"/>
  <c r="J139" i="2" s="1"/>
  <c r="K139" i="2" s="1"/>
  <c r="I140" i="2"/>
  <c r="J140" i="2" s="1"/>
  <c r="K140" i="2" s="1"/>
  <c r="I141" i="2"/>
  <c r="J141" i="2" s="1"/>
  <c r="K141" i="2" s="1"/>
  <c r="I142" i="2"/>
  <c r="J142" i="2" s="1"/>
  <c r="K142" i="2" s="1"/>
  <c r="I143" i="2"/>
  <c r="J143" i="2" s="1"/>
  <c r="K143" i="2" s="1"/>
  <c r="I144" i="2"/>
  <c r="J144" i="2" s="1"/>
  <c r="K144" i="2" s="1"/>
  <c r="I145" i="2"/>
  <c r="J145" i="2" s="1"/>
  <c r="K145" i="2" s="1"/>
  <c r="I146" i="2"/>
  <c r="J146" i="2" s="1"/>
  <c r="K146" i="2" s="1"/>
  <c r="I147" i="2"/>
  <c r="J147" i="2" s="1"/>
  <c r="K147" i="2" s="1"/>
  <c r="I148" i="2"/>
  <c r="J148" i="2" s="1"/>
  <c r="K148" i="2" s="1"/>
  <c r="I149" i="2"/>
  <c r="J149" i="2" s="1"/>
  <c r="K149" i="2" s="1"/>
  <c r="I150" i="2"/>
  <c r="J150" i="2" s="1"/>
  <c r="K150" i="2" s="1"/>
  <c r="I151" i="2"/>
  <c r="J151" i="2" s="1"/>
  <c r="K151" i="2" s="1"/>
  <c r="I152" i="2"/>
  <c r="J152" i="2" s="1"/>
  <c r="K152" i="2" s="1"/>
  <c r="I153" i="2"/>
  <c r="J153" i="2" s="1"/>
  <c r="K153" i="2" s="1"/>
  <c r="I154" i="2"/>
  <c r="J154" i="2" s="1"/>
  <c r="K154" i="2" s="1"/>
  <c r="I155" i="2"/>
  <c r="J155" i="2" s="1"/>
  <c r="K155" i="2" s="1"/>
  <c r="I156" i="2"/>
  <c r="J156" i="2" s="1"/>
  <c r="K156" i="2" s="1"/>
  <c r="I157" i="2"/>
  <c r="J157" i="2" s="1"/>
  <c r="K157" i="2" s="1"/>
  <c r="I158" i="2"/>
  <c r="J158" i="2" s="1"/>
  <c r="K158" i="2" s="1"/>
  <c r="I159" i="2"/>
  <c r="J159" i="2" s="1"/>
  <c r="K159" i="2" s="1"/>
  <c r="I160" i="2"/>
  <c r="J160" i="2" s="1"/>
  <c r="K160" i="2" s="1"/>
  <c r="I161" i="2"/>
  <c r="J161" i="2" s="1"/>
  <c r="K161" i="2" s="1"/>
  <c r="I162" i="2"/>
  <c r="J162" i="2" s="1"/>
  <c r="K162" i="2" s="1"/>
  <c r="I163" i="2"/>
  <c r="J163" i="2" s="1"/>
  <c r="K163" i="2" s="1"/>
  <c r="I164" i="2"/>
  <c r="J164" i="2" s="1"/>
  <c r="K164" i="2" s="1"/>
  <c r="I165" i="2"/>
  <c r="J165" i="2" s="1"/>
  <c r="K165" i="2" s="1"/>
  <c r="I166" i="2"/>
  <c r="J166" i="2" s="1"/>
  <c r="K166" i="2" s="1"/>
  <c r="I167" i="2"/>
  <c r="J167" i="2" s="1"/>
  <c r="K167" i="2" s="1"/>
  <c r="I168" i="2"/>
  <c r="J168" i="2" s="1"/>
  <c r="K168" i="2" s="1"/>
  <c r="I169" i="2"/>
  <c r="J169" i="2" s="1"/>
  <c r="K169" i="2" s="1"/>
  <c r="I170" i="2"/>
  <c r="J170" i="2" s="1"/>
  <c r="K170" i="2" s="1"/>
  <c r="I171" i="2"/>
  <c r="J171" i="2" s="1"/>
  <c r="K171" i="2" s="1"/>
  <c r="I172" i="2"/>
  <c r="J172" i="2" s="1"/>
  <c r="K172" i="2" s="1"/>
  <c r="I173" i="2"/>
  <c r="J173" i="2" s="1"/>
  <c r="K173" i="2" s="1"/>
  <c r="I174" i="2"/>
  <c r="J174" i="2" s="1"/>
  <c r="K174" i="2" s="1"/>
  <c r="I175" i="2"/>
  <c r="J175" i="2" s="1"/>
  <c r="K175" i="2" s="1"/>
  <c r="I176" i="2"/>
  <c r="J176" i="2" s="1"/>
  <c r="K176" i="2" s="1"/>
  <c r="I177" i="2"/>
  <c r="J177" i="2" s="1"/>
  <c r="K177" i="2" s="1"/>
  <c r="I178" i="2"/>
  <c r="J178" i="2" s="1"/>
  <c r="K178" i="2" s="1"/>
  <c r="I179" i="2"/>
  <c r="J179" i="2" s="1"/>
  <c r="K179" i="2" s="1"/>
  <c r="I180" i="2"/>
  <c r="J180" i="2" s="1"/>
  <c r="K180" i="2" s="1"/>
  <c r="I181" i="2"/>
  <c r="J181" i="2" s="1"/>
  <c r="K181" i="2" s="1"/>
  <c r="I182" i="2"/>
  <c r="J182" i="2" s="1"/>
  <c r="K182" i="2" s="1"/>
  <c r="I183" i="2"/>
  <c r="J183" i="2" s="1"/>
  <c r="K183" i="2" s="1"/>
  <c r="I184" i="2"/>
  <c r="J184" i="2" s="1"/>
  <c r="K184" i="2" s="1"/>
  <c r="I185" i="2"/>
  <c r="J185" i="2" s="1"/>
  <c r="K185" i="2" s="1"/>
  <c r="I186" i="2"/>
  <c r="J186" i="2" s="1"/>
  <c r="K186" i="2" s="1"/>
  <c r="I187" i="2"/>
  <c r="J187" i="2" s="1"/>
  <c r="K187" i="2" s="1"/>
  <c r="I188" i="2"/>
  <c r="J188" i="2" s="1"/>
  <c r="K188" i="2" s="1"/>
  <c r="I189" i="2"/>
  <c r="J189" i="2" s="1"/>
  <c r="K189" i="2" s="1"/>
  <c r="I190" i="2"/>
  <c r="J190" i="2" s="1"/>
  <c r="K190" i="2" s="1"/>
  <c r="I191" i="2"/>
  <c r="J191" i="2" s="1"/>
  <c r="K191" i="2" s="1"/>
  <c r="I192" i="2"/>
  <c r="J192" i="2" s="1"/>
  <c r="K192" i="2" s="1"/>
  <c r="I193" i="2"/>
  <c r="J193" i="2" s="1"/>
  <c r="K193" i="2" s="1"/>
  <c r="I194" i="2"/>
  <c r="J194" i="2" s="1"/>
  <c r="K194" i="2" s="1"/>
  <c r="I195" i="2"/>
  <c r="J195" i="2" s="1"/>
  <c r="K195" i="2" s="1"/>
  <c r="I196" i="2"/>
  <c r="J196" i="2" s="1"/>
  <c r="K196" i="2" s="1"/>
  <c r="I197" i="2"/>
  <c r="J197" i="2" s="1"/>
  <c r="K197" i="2" s="1"/>
  <c r="I198" i="2"/>
  <c r="J198" i="2" s="1"/>
  <c r="K198" i="2" s="1"/>
  <c r="I199" i="2"/>
  <c r="J199" i="2" s="1"/>
  <c r="K199" i="2" s="1"/>
  <c r="I200" i="2"/>
  <c r="J200" i="2" s="1"/>
  <c r="K200" i="2" s="1"/>
  <c r="I201" i="2"/>
  <c r="J201" i="2" s="1"/>
  <c r="K201" i="2" s="1"/>
  <c r="I202" i="2"/>
  <c r="J202" i="2" s="1"/>
  <c r="K202" i="2" s="1"/>
  <c r="I203" i="2"/>
  <c r="J203" i="2" s="1"/>
  <c r="K203" i="2" s="1"/>
  <c r="I204" i="2"/>
  <c r="J204" i="2" s="1"/>
  <c r="K204" i="2" s="1"/>
  <c r="I205" i="2"/>
  <c r="J205" i="2" s="1"/>
  <c r="K205" i="2" s="1"/>
  <c r="I206" i="2"/>
  <c r="J206" i="2" s="1"/>
  <c r="K206" i="2" s="1"/>
  <c r="I207" i="2"/>
  <c r="J207" i="2" s="1"/>
  <c r="K207" i="2" s="1"/>
  <c r="I208" i="2"/>
  <c r="J208" i="2" s="1"/>
  <c r="K208" i="2" s="1"/>
  <c r="I209" i="2"/>
  <c r="J209" i="2" s="1"/>
  <c r="K209" i="2" s="1"/>
  <c r="I210" i="2"/>
  <c r="J210" i="2" s="1"/>
  <c r="K210" i="2" s="1"/>
  <c r="I211" i="2"/>
  <c r="J211" i="2" s="1"/>
  <c r="K211" i="2" s="1"/>
  <c r="I212" i="2"/>
  <c r="J212" i="2" s="1"/>
  <c r="K212" i="2" s="1"/>
  <c r="I213" i="2"/>
  <c r="J213" i="2" s="1"/>
  <c r="K213" i="2" s="1"/>
  <c r="I214" i="2"/>
  <c r="J214" i="2" s="1"/>
  <c r="K214" i="2" s="1"/>
  <c r="I215" i="2"/>
  <c r="J215" i="2" s="1"/>
  <c r="K215" i="2" s="1"/>
  <c r="I216" i="2"/>
  <c r="J216" i="2" s="1"/>
  <c r="K216" i="2" s="1"/>
  <c r="I217" i="2"/>
  <c r="J217" i="2" s="1"/>
  <c r="K217" i="2" s="1"/>
  <c r="I218" i="2"/>
  <c r="J218" i="2" s="1"/>
  <c r="K218" i="2" s="1"/>
  <c r="I219" i="2"/>
  <c r="J219" i="2" s="1"/>
  <c r="K219" i="2" s="1"/>
  <c r="I220" i="2"/>
  <c r="J220" i="2" s="1"/>
  <c r="K220" i="2" s="1"/>
  <c r="I221" i="2"/>
  <c r="J221" i="2" s="1"/>
  <c r="K221" i="2" s="1"/>
  <c r="I222" i="2"/>
  <c r="J222" i="2" s="1"/>
  <c r="K222" i="2" s="1"/>
  <c r="I223" i="2"/>
  <c r="J223" i="2" s="1"/>
  <c r="K223" i="2" s="1"/>
  <c r="I224" i="2"/>
  <c r="J224" i="2" s="1"/>
  <c r="K224" i="2" s="1"/>
  <c r="I225" i="2"/>
  <c r="J225" i="2" s="1"/>
  <c r="K225" i="2" s="1"/>
  <c r="I226" i="2"/>
  <c r="J226" i="2" s="1"/>
  <c r="K226" i="2" s="1"/>
  <c r="I227" i="2"/>
  <c r="J227" i="2" s="1"/>
  <c r="K227" i="2" s="1"/>
  <c r="I228" i="2"/>
  <c r="J228" i="2" s="1"/>
  <c r="K228" i="2" s="1"/>
  <c r="I229" i="2"/>
  <c r="J229" i="2" s="1"/>
  <c r="K229" i="2" s="1"/>
  <c r="I230" i="2"/>
  <c r="J230" i="2" s="1"/>
  <c r="K230" i="2" s="1"/>
  <c r="I231" i="2"/>
  <c r="J231" i="2" s="1"/>
  <c r="K231" i="2" s="1"/>
  <c r="I232" i="2"/>
  <c r="J232" i="2" s="1"/>
  <c r="K232" i="2" s="1"/>
  <c r="I233" i="2"/>
  <c r="J233" i="2" s="1"/>
  <c r="K233" i="2" s="1"/>
  <c r="I234" i="2"/>
  <c r="J234" i="2" s="1"/>
  <c r="K234" i="2" s="1"/>
  <c r="I235" i="2"/>
  <c r="J235" i="2" s="1"/>
  <c r="K235" i="2" s="1"/>
  <c r="I236" i="2"/>
  <c r="J236" i="2" s="1"/>
  <c r="K236" i="2" s="1"/>
  <c r="I237" i="2"/>
  <c r="J237" i="2" s="1"/>
  <c r="K237" i="2" s="1"/>
  <c r="I238" i="2"/>
  <c r="J238" i="2" s="1"/>
  <c r="K238" i="2" s="1"/>
  <c r="I239" i="2"/>
  <c r="J239" i="2" s="1"/>
  <c r="K239" i="2" s="1"/>
  <c r="I240" i="2"/>
  <c r="J240" i="2" s="1"/>
  <c r="K240" i="2" s="1"/>
  <c r="I241" i="2"/>
  <c r="J241" i="2" s="1"/>
  <c r="K241" i="2" s="1"/>
  <c r="I242" i="2"/>
  <c r="J242" i="2" s="1"/>
  <c r="K242" i="2" s="1"/>
  <c r="I243" i="2"/>
  <c r="J243" i="2" s="1"/>
  <c r="K243" i="2" s="1"/>
  <c r="I244" i="2"/>
  <c r="J244" i="2" s="1"/>
  <c r="K244" i="2" s="1"/>
  <c r="I245" i="2"/>
  <c r="J245" i="2" s="1"/>
  <c r="K245" i="2" s="1"/>
  <c r="I246" i="2"/>
  <c r="J246" i="2" s="1"/>
  <c r="K246" i="2" s="1"/>
  <c r="I247" i="2"/>
  <c r="J247" i="2" s="1"/>
  <c r="K247" i="2" s="1"/>
  <c r="I248" i="2"/>
  <c r="J248" i="2" s="1"/>
  <c r="K248" i="2" s="1"/>
  <c r="I249" i="2"/>
  <c r="J249" i="2" s="1"/>
  <c r="K249" i="2" s="1"/>
  <c r="I250" i="2"/>
  <c r="J250" i="2" s="1"/>
  <c r="K250" i="2" s="1"/>
  <c r="I251" i="2"/>
  <c r="J251" i="2" s="1"/>
  <c r="K251" i="2" s="1"/>
  <c r="I252" i="2"/>
  <c r="J252" i="2" s="1"/>
  <c r="K252" i="2" s="1"/>
  <c r="I253" i="2"/>
  <c r="J253" i="2" s="1"/>
  <c r="K253" i="2" s="1"/>
  <c r="I254" i="2"/>
  <c r="J254" i="2" s="1"/>
  <c r="K254" i="2" s="1"/>
  <c r="I255" i="2"/>
  <c r="J255" i="2" s="1"/>
  <c r="K255" i="2" s="1"/>
  <c r="I256" i="2"/>
  <c r="J256" i="2" s="1"/>
  <c r="K256" i="2" s="1"/>
  <c r="I257" i="2"/>
  <c r="J257" i="2" s="1"/>
  <c r="K257" i="2" s="1"/>
  <c r="I258" i="2"/>
  <c r="J258" i="2" s="1"/>
  <c r="K258" i="2" s="1"/>
  <c r="I259" i="2"/>
  <c r="J259" i="2" s="1"/>
  <c r="K259" i="2" s="1"/>
  <c r="I260" i="2"/>
  <c r="J260" i="2" s="1"/>
  <c r="K260" i="2" s="1"/>
  <c r="I261" i="2"/>
  <c r="J261" i="2" s="1"/>
  <c r="K261" i="2" s="1"/>
  <c r="I262" i="2"/>
  <c r="J262" i="2" s="1"/>
  <c r="K262" i="2" s="1"/>
  <c r="I263" i="2"/>
  <c r="J263" i="2" s="1"/>
  <c r="K263" i="2" s="1"/>
  <c r="I264" i="2"/>
  <c r="J264" i="2" s="1"/>
  <c r="K264" i="2" s="1"/>
  <c r="I265" i="2"/>
  <c r="J265" i="2" s="1"/>
  <c r="K265" i="2" s="1"/>
  <c r="I266" i="2"/>
  <c r="J266" i="2" s="1"/>
  <c r="K266" i="2" s="1"/>
  <c r="I267" i="2"/>
  <c r="J267" i="2" s="1"/>
  <c r="K267" i="2" s="1"/>
  <c r="I268" i="2"/>
  <c r="J268" i="2" s="1"/>
  <c r="K268" i="2" s="1"/>
  <c r="I269" i="2"/>
  <c r="J269" i="2" s="1"/>
  <c r="K269" i="2" s="1"/>
  <c r="I270" i="2"/>
  <c r="J270" i="2" s="1"/>
  <c r="K270" i="2" s="1"/>
  <c r="I271" i="2"/>
  <c r="J271" i="2" s="1"/>
  <c r="K271" i="2" s="1"/>
  <c r="I272" i="2"/>
  <c r="J272" i="2" s="1"/>
  <c r="K272" i="2" s="1"/>
  <c r="I273" i="2"/>
  <c r="J273" i="2" s="1"/>
  <c r="K273" i="2" s="1"/>
  <c r="I274" i="2"/>
  <c r="J274" i="2" s="1"/>
  <c r="K274" i="2" s="1"/>
  <c r="I275" i="2"/>
  <c r="J275" i="2" s="1"/>
  <c r="K275" i="2" s="1"/>
  <c r="I276" i="2"/>
  <c r="J276" i="2" s="1"/>
  <c r="K276" i="2" s="1"/>
  <c r="I277" i="2"/>
  <c r="J277" i="2" s="1"/>
  <c r="K277" i="2" s="1"/>
  <c r="I278" i="2"/>
  <c r="J278" i="2" s="1"/>
  <c r="K278" i="2" s="1"/>
  <c r="I279" i="2"/>
  <c r="J279" i="2" s="1"/>
  <c r="K279" i="2" s="1"/>
  <c r="I280" i="2"/>
  <c r="J280" i="2" s="1"/>
  <c r="K280" i="2" s="1"/>
  <c r="I281" i="2"/>
  <c r="J281" i="2" s="1"/>
  <c r="K281" i="2" s="1"/>
  <c r="I282" i="2"/>
  <c r="J282" i="2" s="1"/>
  <c r="K282" i="2" s="1"/>
  <c r="I283" i="2"/>
  <c r="J283" i="2" s="1"/>
  <c r="K283" i="2" s="1"/>
  <c r="I284" i="2"/>
  <c r="J284" i="2" s="1"/>
  <c r="K284" i="2" s="1"/>
  <c r="I285" i="2"/>
  <c r="J285" i="2" s="1"/>
  <c r="K285" i="2" s="1"/>
  <c r="I286" i="2"/>
  <c r="J286" i="2" s="1"/>
  <c r="K286" i="2" s="1"/>
  <c r="I287" i="2"/>
  <c r="J287" i="2" s="1"/>
  <c r="K287" i="2" s="1"/>
  <c r="I288" i="2"/>
  <c r="J288" i="2" s="1"/>
  <c r="K288" i="2" s="1"/>
  <c r="I289" i="2"/>
  <c r="J289" i="2" s="1"/>
  <c r="K289" i="2" s="1"/>
  <c r="I290" i="2"/>
  <c r="J290" i="2" s="1"/>
  <c r="K290" i="2" s="1"/>
  <c r="I291" i="2"/>
  <c r="J291" i="2" s="1"/>
  <c r="K291" i="2" s="1"/>
  <c r="I292" i="2"/>
  <c r="J292" i="2" s="1"/>
  <c r="K292" i="2" s="1"/>
  <c r="I293" i="2"/>
  <c r="J293" i="2" s="1"/>
  <c r="K293" i="2" s="1"/>
  <c r="I294" i="2"/>
  <c r="J294" i="2" s="1"/>
  <c r="K294" i="2" s="1"/>
  <c r="I295" i="2"/>
  <c r="J295" i="2" s="1"/>
  <c r="K295" i="2" s="1"/>
  <c r="I296" i="2"/>
  <c r="J296" i="2" s="1"/>
  <c r="K296" i="2" s="1"/>
  <c r="I297" i="2"/>
  <c r="J297" i="2" s="1"/>
  <c r="K297" i="2" s="1"/>
  <c r="I298" i="2"/>
  <c r="J298" i="2" s="1"/>
  <c r="K298" i="2" s="1"/>
  <c r="I299" i="2"/>
  <c r="J299" i="2" s="1"/>
  <c r="K299" i="2" s="1"/>
  <c r="I300" i="2"/>
  <c r="J300" i="2" s="1"/>
  <c r="K300" i="2" s="1"/>
  <c r="I301" i="2"/>
  <c r="J301" i="2" s="1"/>
  <c r="K301" i="2" s="1"/>
  <c r="I302" i="2"/>
  <c r="J302" i="2" s="1"/>
  <c r="K302" i="2" s="1"/>
  <c r="I303" i="2"/>
  <c r="J303" i="2" s="1"/>
  <c r="K303" i="2" s="1"/>
  <c r="I304" i="2"/>
  <c r="J304" i="2" s="1"/>
  <c r="K304" i="2" s="1"/>
  <c r="I305" i="2"/>
  <c r="J305" i="2" s="1"/>
  <c r="K305" i="2" s="1"/>
  <c r="I306" i="2"/>
  <c r="J306" i="2" s="1"/>
  <c r="K306" i="2" s="1"/>
  <c r="I307" i="2"/>
  <c r="J307" i="2" s="1"/>
  <c r="K307" i="2" s="1"/>
  <c r="I308" i="2"/>
  <c r="J308" i="2" s="1"/>
  <c r="K308" i="2" s="1"/>
  <c r="I309" i="2"/>
  <c r="J309" i="2" s="1"/>
  <c r="K309" i="2" s="1"/>
  <c r="I310" i="2"/>
  <c r="J310" i="2" s="1"/>
  <c r="K310" i="2" s="1"/>
  <c r="I311" i="2"/>
  <c r="J311" i="2" s="1"/>
  <c r="K311" i="2" s="1"/>
  <c r="I312" i="2"/>
  <c r="J312" i="2" s="1"/>
  <c r="K312" i="2" s="1"/>
  <c r="I313" i="2"/>
  <c r="J313" i="2" s="1"/>
  <c r="K313" i="2" s="1"/>
  <c r="I314" i="2"/>
  <c r="J314" i="2" s="1"/>
  <c r="K314" i="2" s="1"/>
  <c r="I315" i="2"/>
  <c r="J315" i="2" s="1"/>
  <c r="K315" i="2" s="1"/>
  <c r="I316" i="2"/>
  <c r="J316" i="2" s="1"/>
  <c r="K316" i="2" s="1"/>
  <c r="I317" i="2"/>
  <c r="J317" i="2" s="1"/>
  <c r="K317" i="2" s="1"/>
  <c r="I318" i="2"/>
  <c r="J318" i="2" s="1"/>
  <c r="K318" i="2" s="1"/>
  <c r="I319" i="2"/>
  <c r="J319" i="2" s="1"/>
  <c r="K319" i="2" s="1"/>
  <c r="I320" i="2"/>
  <c r="J320" i="2" s="1"/>
  <c r="K320" i="2" s="1"/>
  <c r="I321" i="2"/>
  <c r="J321" i="2" s="1"/>
  <c r="K321" i="2" s="1"/>
  <c r="I322" i="2"/>
  <c r="J322" i="2" s="1"/>
  <c r="K322" i="2" s="1"/>
  <c r="I323" i="2"/>
  <c r="J323" i="2" s="1"/>
  <c r="K323" i="2" s="1"/>
  <c r="I324" i="2"/>
  <c r="J324" i="2" s="1"/>
  <c r="K324" i="2" s="1"/>
  <c r="I325" i="2"/>
  <c r="J325" i="2" s="1"/>
  <c r="K325" i="2" s="1"/>
  <c r="I326" i="2"/>
  <c r="J326" i="2" s="1"/>
  <c r="K326" i="2" s="1"/>
  <c r="I327" i="2"/>
  <c r="J327" i="2" s="1"/>
  <c r="K327" i="2" s="1"/>
  <c r="I328" i="2"/>
  <c r="J328" i="2" s="1"/>
  <c r="K328" i="2" s="1"/>
  <c r="I329" i="2"/>
  <c r="J329" i="2" s="1"/>
  <c r="K329" i="2" s="1"/>
  <c r="I330" i="2"/>
  <c r="J330" i="2" s="1"/>
  <c r="K330" i="2" s="1"/>
  <c r="I331" i="2"/>
  <c r="J331" i="2" s="1"/>
  <c r="K331" i="2" s="1"/>
  <c r="I332" i="2"/>
  <c r="J332" i="2" s="1"/>
  <c r="K332" i="2" s="1"/>
  <c r="I333" i="2"/>
  <c r="J333" i="2" s="1"/>
  <c r="K333" i="2" s="1"/>
  <c r="I334" i="2"/>
  <c r="J334" i="2" s="1"/>
  <c r="K334" i="2" s="1"/>
  <c r="I335" i="2"/>
  <c r="J335" i="2" s="1"/>
  <c r="K335" i="2" s="1"/>
  <c r="I336" i="2"/>
  <c r="J336" i="2" s="1"/>
  <c r="K336" i="2" s="1"/>
  <c r="I337" i="2"/>
  <c r="J337" i="2" s="1"/>
  <c r="K337" i="2" s="1"/>
  <c r="I338" i="2"/>
  <c r="J338" i="2" s="1"/>
  <c r="K338" i="2" s="1"/>
  <c r="I339" i="2"/>
  <c r="J339" i="2" s="1"/>
  <c r="K339" i="2" s="1"/>
  <c r="I340" i="2"/>
  <c r="J340" i="2" s="1"/>
  <c r="K340" i="2" s="1"/>
  <c r="I341" i="2"/>
  <c r="J341" i="2" s="1"/>
  <c r="K341" i="2" s="1"/>
  <c r="I342" i="2"/>
  <c r="J342" i="2" s="1"/>
  <c r="K342" i="2" s="1"/>
  <c r="I343" i="2"/>
  <c r="J343" i="2" s="1"/>
  <c r="K343" i="2" s="1"/>
  <c r="I344" i="2"/>
  <c r="J344" i="2" s="1"/>
  <c r="K344" i="2" s="1"/>
  <c r="I345" i="2"/>
  <c r="J345" i="2" s="1"/>
  <c r="K345" i="2" s="1"/>
  <c r="I346" i="2"/>
  <c r="J346" i="2" s="1"/>
  <c r="K346" i="2" s="1"/>
  <c r="I347" i="2"/>
  <c r="J347" i="2" s="1"/>
  <c r="K347" i="2" s="1"/>
  <c r="I348" i="2"/>
  <c r="J348" i="2" s="1"/>
  <c r="K348" i="2" s="1"/>
  <c r="I349" i="2"/>
  <c r="J349" i="2" s="1"/>
  <c r="K349" i="2" s="1"/>
  <c r="I350" i="2"/>
  <c r="J350" i="2" s="1"/>
  <c r="K350" i="2" s="1"/>
  <c r="I351" i="2"/>
  <c r="J351" i="2" s="1"/>
  <c r="K351" i="2" s="1"/>
  <c r="I352" i="2"/>
  <c r="J352" i="2" s="1"/>
  <c r="K352" i="2" s="1"/>
  <c r="I353" i="2"/>
  <c r="J353" i="2" s="1"/>
  <c r="K353" i="2" s="1"/>
  <c r="I354" i="2"/>
  <c r="J354" i="2" s="1"/>
  <c r="K354" i="2" s="1"/>
  <c r="I355" i="2"/>
  <c r="J355" i="2" s="1"/>
  <c r="K355" i="2" s="1"/>
  <c r="I356" i="2"/>
  <c r="J356" i="2" s="1"/>
  <c r="K356" i="2" s="1"/>
  <c r="I357" i="2"/>
  <c r="J357" i="2" s="1"/>
  <c r="K357" i="2" s="1"/>
  <c r="I358" i="2"/>
  <c r="J358" i="2" s="1"/>
  <c r="K358" i="2" s="1"/>
  <c r="I359" i="2"/>
  <c r="J359" i="2" s="1"/>
  <c r="K359" i="2" s="1"/>
  <c r="I360" i="2"/>
  <c r="J360" i="2" s="1"/>
  <c r="K360" i="2" s="1"/>
  <c r="I361" i="2"/>
  <c r="J361" i="2" s="1"/>
  <c r="K361" i="2" s="1"/>
  <c r="I362" i="2"/>
  <c r="J362" i="2" s="1"/>
  <c r="K362" i="2" s="1"/>
  <c r="I363" i="2"/>
  <c r="J363" i="2" s="1"/>
  <c r="K363" i="2" s="1"/>
  <c r="I364" i="2"/>
  <c r="J364" i="2" s="1"/>
  <c r="K364" i="2" s="1"/>
  <c r="I365" i="2"/>
  <c r="J365" i="2" s="1"/>
  <c r="K365" i="2" s="1"/>
  <c r="I366" i="2"/>
  <c r="J366" i="2" s="1"/>
  <c r="K366" i="2" s="1"/>
  <c r="I367" i="2"/>
  <c r="J367" i="2" s="1"/>
  <c r="K367" i="2" s="1"/>
  <c r="I368" i="2"/>
  <c r="J368" i="2" s="1"/>
  <c r="K368" i="2" s="1"/>
  <c r="I369" i="2"/>
  <c r="J369" i="2" s="1"/>
  <c r="K369" i="2" s="1"/>
  <c r="I370" i="2"/>
  <c r="J370" i="2" s="1"/>
  <c r="K370" i="2" s="1"/>
  <c r="I371" i="2"/>
  <c r="J371" i="2" s="1"/>
  <c r="K371" i="2" s="1"/>
  <c r="I372" i="2"/>
  <c r="J372" i="2" s="1"/>
  <c r="K372" i="2" s="1"/>
  <c r="I373" i="2"/>
  <c r="J373" i="2" s="1"/>
  <c r="K373" i="2" s="1"/>
  <c r="I374" i="2"/>
  <c r="J374" i="2" s="1"/>
  <c r="K374" i="2" s="1"/>
  <c r="I375" i="2"/>
  <c r="J375" i="2" s="1"/>
  <c r="K375" i="2" s="1"/>
  <c r="I376" i="2"/>
  <c r="J376" i="2" s="1"/>
  <c r="K376" i="2" s="1"/>
  <c r="I377" i="2"/>
  <c r="J377" i="2" s="1"/>
  <c r="K377" i="2" s="1"/>
  <c r="I378" i="2"/>
  <c r="J378" i="2" s="1"/>
  <c r="K378" i="2" s="1"/>
  <c r="I379" i="2"/>
  <c r="J379" i="2" s="1"/>
  <c r="K379" i="2" s="1"/>
  <c r="I380" i="2"/>
  <c r="J380" i="2" s="1"/>
  <c r="K380" i="2" s="1"/>
  <c r="I381" i="2"/>
  <c r="J381" i="2" s="1"/>
  <c r="K381" i="2" s="1"/>
  <c r="I382" i="2"/>
  <c r="J382" i="2" s="1"/>
  <c r="K382" i="2" s="1"/>
  <c r="I383" i="2"/>
  <c r="J383" i="2" s="1"/>
  <c r="K383" i="2" s="1"/>
  <c r="I384" i="2"/>
  <c r="J384" i="2" s="1"/>
  <c r="K384" i="2" s="1"/>
  <c r="I385" i="2"/>
  <c r="J385" i="2" s="1"/>
  <c r="K385" i="2" s="1"/>
  <c r="I386" i="2"/>
  <c r="J386" i="2" s="1"/>
  <c r="K386" i="2" s="1"/>
  <c r="I387" i="2"/>
  <c r="J387" i="2" s="1"/>
  <c r="K387" i="2" s="1"/>
  <c r="I388" i="2"/>
  <c r="J388" i="2" s="1"/>
  <c r="K388" i="2" s="1"/>
  <c r="I389" i="2"/>
  <c r="J389" i="2" s="1"/>
  <c r="K389" i="2" s="1"/>
  <c r="I390" i="2"/>
  <c r="J390" i="2" s="1"/>
  <c r="K390" i="2" s="1"/>
  <c r="I391" i="2"/>
  <c r="J391" i="2" s="1"/>
  <c r="K391" i="2" s="1"/>
  <c r="I392" i="2"/>
  <c r="J392" i="2" s="1"/>
  <c r="K392" i="2" s="1"/>
  <c r="I393" i="2"/>
  <c r="J393" i="2" s="1"/>
  <c r="K393" i="2" s="1"/>
  <c r="I394" i="2"/>
  <c r="J394" i="2" s="1"/>
  <c r="K394" i="2" s="1"/>
  <c r="I395" i="2"/>
  <c r="J395" i="2" s="1"/>
  <c r="K395" i="2" s="1"/>
  <c r="I396" i="2"/>
  <c r="J396" i="2" s="1"/>
  <c r="K396" i="2" s="1"/>
  <c r="I397" i="2"/>
  <c r="J397" i="2" s="1"/>
  <c r="K397" i="2" s="1"/>
  <c r="I398" i="2"/>
  <c r="J398" i="2" s="1"/>
  <c r="K398" i="2" s="1"/>
  <c r="I399" i="2"/>
  <c r="J399" i="2" s="1"/>
  <c r="K399" i="2" s="1"/>
  <c r="I400" i="2"/>
  <c r="J400" i="2" s="1"/>
  <c r="K400" i="2" s="1"/>
  <c r="I401" i="2"/>
  <c r="J401" i="2" s="1"/>
  <c r="K401" i="2" s="1"/>
  <c r="I402" i="2"/>
  <c r="J402" i="2" s="1"/>
  <c r="K402" i="2" s="1"/>
  <c r="I403" i="2"/>
  <c r="J403" i="2" s="1"/>
  <c r="K403" i="2" s="1"/>
  <c r="I404" i="2"/>
  <c r="J404" i="2" s="1"/>
  <c r="K404" i="2" s="1"/>
  <c r="I405" i="2"/>
  <c r="J405" i="2" s="1"/>
  <c r="K405" i="2" s="1"/>
  <c r="I406" i="2"/>
  <c r="J406" i="2" s="1"/>
  <c r="K406" i="2" s="1"/>
  <c r="I407" i="2"/>
  <c r="J407" i="2" s="1"/>
  <c r="K407" i="2" s="1"/>
  <c r="I408" i="2"/>
  <c r="J408" i="2" s="1"/>
  <c r="K408" i="2" s="1"/>
  <c r="I409" i="2"/>
  <c r="J409" i="2" s="1"/>
  <c r="K409" i="2" s="1"/>
  <c r="I410" i="2"/>
  <c r="J410" i="2" s="1"/>
  <c r="K410" i="2" s="1"/>
  <c r="I411" i="2"/>
  <c r="J411" i="2" s="1"/>
  <c r="K411" i="2" s="1"/>
  <c r="I412" i="2"/>
  <c r="J412" i="2" s="1"/>
  <c r="K412" i="2" s="1"/>
  <c r="I413" i="2"/>
  <c r="J413" i="2" s="1"/>
  <c r="K413" i="2" s="1"/>
  <c r="I414" i="2"/>
  <c r="J414" i="2" s="1"/>
  <c r="K414" i="2" s="1"/>
  <c r="I415" i="2"/>
  <c r="J415" i="2" s="1"/>
  <c r="K415" i="2" s="1"/>
  <c r="I416" i="2"/>
  <c r="J416" i="2" s="1"/>
  <c r="K416" i="2" s="1"/>
  <c r="I417" i="2"/>
  <c r="J417" i="2" s="1"/>
  <c r="K417" i="2" s="1"/>
  <c r="I418" i="2"/>
  <c r="J418" i="2" s="1"/>
  <c r="K418" i="2" s="1"/>
  <c r="I419" i="2"/>
  <c r="J419" i="2" s="1"/>
  <c r="K419" i="2" s="1"/>
  <c r="I420" i="2"/>
  <c r="J420" i="2" s="1"/>
  <c r="K420" i="2" s="1"/>
  <c r="I421" i="2"/>
  <c r="J421" i="2" s="1"/>
  <c r="K421" i="2" s="1"/>
  <c r="I422" i="2"/>
  <c r="J422" i="2" s="1"/>
  <c r="K422" i="2" s="1"/>
  <c r="I423" i="2"/>
  <c r="J423" i="2" s="1"/>
  <c r="K423" i="2" s="1"/>
  <c r="I424" i="2"/>
  <c r="J424" i="2" s="1"/>
  <c r="K424" i="2" s="1"/>
  <c r="I425" i="2"/>
  <c r="J425" i="2" s="1"/>
  <c r="K425" i="2" s="1"/>
  <c r="I426" i="2"/>
  <c r="J426" i="2" s="1"/>
  <c r="K426" i="2" s="1"/>
  <c r="I427" i="2"/>
  <c r="J427" i="2" s="1"/>
  <c r="K427" i="2" s="1"/>
  <c r="I428" i="2"/>
  <c r="J428" i="2" s="1"/>
  <c r="K428" i="2" s="1"/>
  <c r="I429" i="2"/>
  <c r="J429" i="2" s="1"/>
  <c r="K429" i="2" s="1"/>
  <c r="I430" i="2"/>
  <c r="J430" i="2" s="1"/>
  <c r="K430" i="2" s="1"/>
  <c r="I431" i="2"/>
  <c r="J431" i="2" s="1"/>
  <c r="K431" i="2" s="1"/>
  <c r="I432" i="2"/>
  <c r="J432" i="2" s="1"/>
  <c r="K432" i="2" s="1"/>
  <c r="I433" i="2"/>
  <c r="J433" i="2" s="1"/>
  <c r="K433" i="2" s="1"/>
  <c r="I434" i="2"/>
  <c r="J434" i="2" s="1"/>
  <c r="K434" i="2" s="1"/>
  <c r="I435" i="2"/>
  <c r="J435" i="2" s="1"/>
  <c r="K435" i="2" s="1"/>
  <c r="I436" i="2"/>
  <c r="J436" i="2" s="1"/>
  <c r="K436" i="2" s="1"/>
  <c r="I437" i="2"/>
  <c r="J437" i="2" s="1"/>
  <c r="K437" i="2" s="1"/>
  <c r="I438" i="2"/>
  <c r="J438" i="2" s="1"/>
  <c r="K438" i="2" s="1"/>
  <c r="I439" i="2"/>
  <c r="J439" i="2" s="1"/>
  <c r="K439" i="2" s="1"/>
  <c r="I440" i="2"/>
  <c r="J440" i="2" s="1"/>
  <c r="K440" i="2" s="1"/>
  <c r="I441" i="2"/>
  <c r="J441" i="2" s="1"/>
  <c r="K441" i="2" s="1"/>
  <c r="I442" i="2"/>
  <c r="J442" i="2" s="1"/>
  <c r="K442" i="2" s="1"/>
  <c r="I443" i="2"/>
  <c r="J443" i="2" s="1"/>
  <c r="K443" i="2" s="1"/>
  <c r="I444" i="2"/>
  <c r="J444" i="2" s="1"/>
  <c r="K444" i="2" s="1"/>
  <c r="I445" i="2"/>
  <c r="J445" i="2" s="1"/>
  <c r="K445" i="2" s="1"/>
  <c r="I446" i="2"/>
  <c r="J446" i="2" s="1"/>
  <c r="K446" i="2" s="1"/>
  <c r="I447" i="2"/>
  <c r="J447" i="2" s="1"/>
  <c r="K447" i="2" s="1"/>
  <c r="I448" i="2"/>
  <c r="J448" i="2" s="1"/>
  <c r="K448" i="2" s="1"/>
  <c r="I449" i="2"/>
  <c r="J449" i="2" s="1"/>
  <c r="K449" i="2" s="1"/>
  <c r="I450" i="2"/>
  <c r="J450" i="2" s="1"/>
  <c r="K450" i="2" s="1"/>
  <c r="I451" i="2"/>
  <c r="J451" i="2" s="1"/>
  <c r="K451" i="2" s="1"/>
  <c r="I452" i="2"/>
  <c r="J452" i="2" s="1"/>
  <c r="K452" i="2" s="1"/>
  <c r="I453" i="2"/>
  <c r="J453" i="2" s="1"/>
  <c r="K453" i="2" s="1"/>
  <c r="I454" i="2"/>
  <c r="J454" i="2" s="1"/>
  <c r="K454" i="2" s="1"/>
  <c r="I455" i="2"/>
  <c r="J455" i="2" s="1"/>
  <c r="K455" i="2" s="1"/>
  <c r="I456" i="2"/>
  <c r="J456" i="2" s="1"/>
  <c r="K456" i="2" s="1"/>
  <c r="I457" i="2"/>
  <c r="J457" i="2" s="1"/>
  <c r="K457" i="2" s="1"/>
  <c r="I458" i="2"/>
  <c r="J458" i="2" s="1"/>
  <c r="K458" i="2" s="1"/>
  <c r="I459" i="2"/>
  <c r="J459" i="2" s="1"/>
  <c r="K459" i="2" s="1"/>
  <c r="I460" i="2"/>
  <c r="J460" i="2" s="1"/>
  <c r="K460" i="2" s="1"/>
  <c r="I461" i="2"/>
  <c r="J461" i="2" s="1"/>
  <c r="K461" i="2" s="1"/>
  <c r="I462" i="2"/>
  <c r="J462" i="2" s="1"/>
  <c r="K462" i="2" s="1"/>
  <c r="I463" i="2"/>
  <c r="J463" i="2" s="1"/>
  <c r="K463" i="2" s="1"/>
  <c r="I464" i="2"/>
  <c r="J464" i="2" s="1"/>
  <c r="K464" i="2" s="1"/>
  <c r="I465" i="2"/>
  <c r="J465" i="2" s="1"/>
  <c r="K465" i="2" s="1"/>
  <c r="I466" i="2"/>
  <c r="J466" i="2" s="1"/>
  <c r="K466" i="2" s="1"/>
  <c r="I467" i="2"/>
  <c r="J467" i="2" s="1"/>
  <c r="K467" i="2" s="1"/>
  <c r="I468" i="2"/>
  <c r="J468" i="2" s="1"/>
  <c r="K468" i="2" s="1"/>
  <c r="I469" i="2"/>
  <c r="J469" i="2" s="1"/>
  <c r="K469" i="2" s="1"/>
  <c r="I470" i="2"/>
  <c r="J470" i="2" s="1"/>
  <c r="K470" i="2" s="1"/>
  <c r="I471" i="2"/>
  <c r="J471" i="2" s="1"/>
  <c r="K471" i="2" s="1"/>
  <c r="I472" i="2"/>
  <c r="J472" i="2" s="1"/>
  <c r="K472" i="2" s="1"/>
  <c r="I473" i="2"/>
  <c r="J473" i="2" s="1"/>
  <c r="K473" i="2" s="1"/>
  <c r="I474" i="2"/>
  <c r="J474" i="2" s="1"/>
  <c r="K474" i="2" s="1"/>
  <c r="I475" i="2"/>
  <c r="J475" i="2" s="1"/>
  <c r="K475" i="2" s="1"/>
  <c r="I476" i="2"/>
  <c r="J476" i="2" s="1"/>
  <c r="K476" i="2" s="1"/>
  <c r="I477" i="2"/>
  <c r="J477" i="2" s="1"/>
  <c r="K477" i="2" s="1"/>
  <c r="I478" i="2"/>
  <c r="J478" i="2" s="1"/>
  <c r="K478" i="2" s="1"/>
  <c r="I479" i="2"/>
  <c r="J479" i="2" s="1"/>
  <c r="K479" i="2" s="1"/>
  <c r="I480" i="2"/>
  <c r="J480" i="2" s="1"/>
  <c r="K480" i="2" s="1"/>
  <c r="I481" i="2"/>
  <c r="J481" i="2" s="1"/>
  <c r="K481" i="2" s="1"/>
  <c r="I482" i="2"/>
  <c r="J482" i="2" s="1"/>
  <c r="K482" i="2" s="1"/>
  <c r="I483" i="2"/>
  <c r="J483" i="2" s="1"/>
  <c r="K483" i="2" s="1"/>
  <c r="I484" i="2"/>
  <c r="J484" i="2" s="1"/>
  <c r="K484" i="2" s="1"/>
  <c r="I485" i="2"/>
  <c r="J485" i="2" s="1"/>
  <c r="K485" i="2" s="1"/>
  <c r="I486" i="2"/>
  <c r="J486" i="2" s="1"/>
  <c r="K486" i="2" s="1"/>
  <c r="I487" i="2"/>
  <c r="J487" i="2" s="1"/>
  <c r="K487" i="2" s="1"/>
  <c r="I488" i="2"/>
  <c r="J488" i="2" s="1"/>
  <c r="K488" i="2" s="1"/>
  <c r="I489" i="2"/>
  <c r="J489" i="2" s="1"/>
  <c r="K489" i="2" s="1"/>
  <c r="I490" i="2"/>
  <c r="J490" i="2" s="1"/>
  <c r="K490" i="2" s="1"/>
  <c r="I491" i="2"/>
  <c r="J491" i="2" s="1"/>
  <c r="K491" i="2" s="1"/>
  <c r="I492" i="2"/>
  <c r="J492" i="2" s="1"/>
  <c r="K492" i="2" s="1"/>
  <c r="I493" i="2"/>
  <c r="J493" i="2" s="1"/>
  <c r="K493" i="2" s="1"/>
  <c r="I494" i="2"/>
  <c r="J494" i="2" s="1"/>
  <c r="K494" i="2" s="1"/>
  <c r="I495" i="2"/>
  <c r="J495" i="2" s="1"/>
  <c r="K495" i="2" s="1"/>
  <c r="I496" i="2"/>
  <c r="J496" i="2" s="1"/>
  <c r="K496" i="2" s="1"/>
  <c r="I497" i="2"/>
  <c r="J497" i="2" s="1"/>
  <c r="K497" i="2" s="1"/>
  <c r="I498" i="2"/>
  <c r="J498" i="2" s="1"/>
  <c r="K498" i="2" s="1"/>
  <c r="I499" i="2"/>
  <c r="J499" i="2" s="1"/>
  <c r="K499" i="2" s="1"/>
  <c r="I500" i="2"/>
  <c r="J500" i="2" s="1"/>
  <c r="K500" i="2" s="1"/>
  <c r="I501" i="2"/>
  <c r="J501" i="2" s="1"/>
  <c r="K501" i="2" s="1"/>
  <c r="I2" i="2"/>
  <c r="J2" i="2" s="1"/>
  <c r="K2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2" i="2"/>
  <c r="C499" i="2"/>
  <c r="C500" i="2"/>
  <c r="C50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2" i="2"/>
  <c r="M482" i="2" l="1"/>
  <c r="M450" i="2"/>
  <c r="M418" i="2"/>
  <c r="M386" i="2"/>
  <c r="M354" i="2"/>
  <c r="M322" i="2"/>
  <c r="M290" i="2"/>
  <c r="M258" i="2"/>
  <c r="M226" i="2"/>
  <c r="M194" i="2"/>
  <c r="M162" i="2"/>
  <c r="M130" i="2"/>
  <c r="M98" i="2"/>
  <c r="M66" i="2"/>
  <c r="M34" i="2"/>
  <c r="M481" i="2"/>
  <c r="M449" i="2"/>
  <c r="M417" i="2"/>
  <c r="M385" i="2"/>
  <c r="M353" i="2"/>
  <c r="M321" i="2"/>
  <c r="M289" i="2"/>
  <c r="M257" i="2"/>
  <c r="M225" i="2"/>
  <c r="M193" i="2"/>
  <c r="M161" i="2"/>
  <c r="M129" i="2"/>
  <c r="M97" i="2"/>
  <c r="M65" i="2"/>
  <c r="M33" i="2"/>
  <c r="M474" i="2"/>
  <c r="M378" i="2"/>
  <c r="M314" i="2"/>
  <c r="M250" i="2"/>
  <c r="M186" i="2"/>
  <c r="M122" i="2"/>
  <c r="M26" i="2"/>
  <c r="M473" i="2"/>
  <c r="M441" i="2"/>
  <c r="M409" i="2"/>
  <c r="M377" i="2"/>
  <c r="M345" i="2"/>
  <c r="M313" i="2"/>
  <c r="M281" i="2"/>
  <c r="M249" i="2"/>
  <c r="M217" i="2"/>
  <c r="M185" i="2"/>
  <c r="M153" i="2"/>
  <c r="M121" i="2"/>
  <c r="M89" i="2"/>
  <c r="M57" i="2"/>
  <c r="M25" i="2"/>
  <c r="M442" i="2"/>
  <c r="M410" i="2"/>
  <c r="M346" i="2"/>
  <c r="M282" i="2"/>
  <c r="M218" i="2"/>
  <c r="M154" i="2"/>
  <c r="M90" i="2"/>
  <c r="M58" i="2"/>
  <c r="M498" i="2"/>
  <c r="M466" i="2"/>
  <c r="M434" i="2"/>
  <c r="M402" i="2"/>
  <c r="M370" i="2"/>
  <c r="M338" i="2"/>
  <c r="M306" i="2"/>
  <c r="M274" i="2"/>
  <c r="M242" i="2"/>
  <c r="M210" i="2"/>
  <c r="M178" i="2"/>
  <c r="M146" i="2"/>
  <c r="M114" i="2"/>
  <c r="M82" i="2"/>
  <c r="M50" i="2"/>
  <c r="M18" i="2"/>
  <c r="M497" i="2"/>
  <c r="M465" i="2"/>
  <c r="M433" i="2"/>
  <c r="M401" i="2"/>
  <c r="M369" i="2"/>
  <c r="M337" i="2"/>
  <c r="M305" i="2"/>
  <c r="M273" i="2"/>
  <c r="M241" i="2"/>
  <c r="M209" i="2"/>
  <c r="M177" i="2"/>
  <c r="M145" i="2"/>
  <c r="M113" i="2"/>
  <c r="M81" i="2"/>
  <c r="M49" i="2"/>
  <c r="M17" i="2"/>
  <c r="M490" i="2"/>
  <c r="M458" i="2"/>
  <c r="M426" i="2"/>
  <c r="M394" i="2"/>
  <c r="M362" i="2"/>
  <c r="M330" i="2"/>
  <c r="M298" i="2"/>
  <c r="M266" i="2"/>
  <c r="M234" i="2"/>
  <c r="M202" i="2"/>
  <c r="M170" i="2"/>
  <c r="M138" i="2"/>
  <c r="M106" i="2"/>
  <c r="M74" i="2"/>
  <c r="M42" i="2"/>
  <c r="M10" i="2"/>
  <c r="M489" i="2"/>
  <c r="M457" i="2"/>
  <c r="M425" i="2"/>
  <c r="M393" i="2"/>
  <c r="M361" i="2"/>
  <c r="M329" i="2"/>
  <c r="M297" i="2"/>
  <c r="M265" i="2"/>
  <c r="M233" i="2"/>
  <c r="M201" i="2"/>
  <c r="M169" i="2"/>
  <c r="M137" i="2"/>
  <c r="M105" i="2"/>
  <c r="M73" i="2"/>
  <c r="M41" i="2"/>
  <c r="M9" i="2"/>
  <c r="M496" i="2"/>
  <c r="M488" i="2"/>
  <c r="M480" i="2"/>
  <c r="M472" i="2"/>
  <c r="M464" i="2"/>
  <c r="M456" i="2"/>
  <c r="M448" i="2"/>
  <c r="M440" i="2"/>
  <c r="M432" i="2"/>
  <c r="M424" i="2"/>
  <c r="M416" i="2"/>
  <c r="M408" i="2"/>
  <c r="M400" i="2"/>
  <c r="M392" i="2"/>
  <c r="M384" i="2"/>
  <c r="M376" i="2"/>
  <c r="M368" i="2"/>
  <c r="M360" i="2"/>
  <c r="M352" i="2"/>
  <c r="M344" i="2"/>
  <c r="M336" i="2"/>
  <c r="M328" i="2"/>
  <c r="M320" i="2"/>
  <c r="M312" i="2"/>
  <c r="M304" i="2"/>
  <c r="M296" i="2"/>
  <c r="M288" i="2"/>
  <c r="M280" i="2"/>
  <c r="M272" i="2"/>
  <c r="M264" i="2"/>
  <c r="M256" i="2"/>
  <c r="M248" i="2"/>
  <c r="M240" i="2"/>
  <c r="M232" i="2"/>
  <c r="M224" i="2"/>
  <c r="M216" i="2"/>
  <c r="M208" i="2"/>
  <c r="M200" i="2"/>
  <c r="M192" i="2"/>
  <c r="M184" i="2"/>
  <c r="M176" i="2"/>
  <c r="M168" i="2"/>
  <c r="M160" i="2"/>
  <c r="M152" i="2"/>
  <c r="M144" i="2"/>
  <c r="M136" i="2"/>
  <c r="M128" i="2"/>
  <c r="M120" i="2"/>
  <c r="M112" i="2"/>
  <c r="M104" i="2"/>
  <c r="M96" i="2"/>
  <c r="M88" i="2"/>
  <c r="M80" i="2"/>
  <c r="M72" i="2"/>
  <c r="M64" i="2"/>
  <c r="M56" i="2"/>
  <c r="M48" i="2"/>
  <c r="M40" i="2"/>
  <c r="M32" i="2"/>
  <c r="M24" i="2"/>
  <c r="M16" i="2"/>
  <c r="M8" i="2"/>
  <c r="M495" i="2"/>
  <c r="M487" i="2"/>
  <c r="M479" i="2"/>
  <c r="M471" i="2"/>
  <c r="M463" i="2"/>
  <c r="M455" i="2"/>
  <c r="M447" i="2"/>
  <c r="M439" i="2"/>
  <c r="M431" i="2"/>
  <c r="M423" i="2"/>
  <c r="M415" i="2"/>
  <c r="M407" i="2"/>
  <c r="M399" i="2"/>
  <c r="M391" i="2"/>
  <c r="M383" i="2"/>
  <c r="M375" i="2"/>
  <c r="M367" i="2"/>
  <c r="M359" i="2"/>
  <c r="M351" i="2"/>
  <c r="M343" i="2"/>
  <c r="M335" i="2"/>
  <c r="M327" i="2"/>
  <c r="M319" i="2"/>
  <c r="M311" i="2"/>
  <c r="M303" i="2"/>
  <c r="M295" i="2"/>
  <c r="M287" i="2"/>
  <c r="M279" i="2"/>
  <c r="M271" i="2"/>
  <c r="M263" i="2"/>
  <c r="M255" i="2"/>
  <c r="M247" i="2"/>
  <c r="M239" i="2"/>
  <c r="M231" i="2"/>
  <c r="M223" i="2"/>
  <c r="M215" i="2"/>
  <c r="M207" i="2"/>
  <c r="M199" i="2"/>
  <c r="M191" i="2"/>
  <c r="M183" i="2"/>
  <c r="M175" i="2"/>
  <c r="M167" i="2"/>
  <c r="M159" i="2"/>
  <c r="M151" i="2"/>
  <c r="M143" i="2"/>
  <c r="M135" i="2"/>
  <c r="M127" i="2"/>
  <c r="M119" i="2"/>
  <c r="M111" i="2"/>
  <c r="M103" i="2"/>
  <c r="M95" i="2"/>
  <c r="M87" i="2"/>
  <c r="M79" i="2"/>
  <c r="M71" i="2"/>
  <c r="M63" i="2"/>
  <c r="M55" i="2"/>
  <c r="M47" i="2"/>
  <c r="M39" i="2"/>
  <c r="M31" i="2"/>
  <c r="M23" i="2"/>
  <c r="M15" i="2"/>
  <c r="M7" i="2"/>
  <c r="M494" i="2"/>
  <c r="M486" i="2"/>
  <c r="M478" i="2"/>
  <c r="M470" i="2"/>
  <c r="M462" i="2"/>
  <c r="M454" i="2"/>
  <c r="M446" i="2"/>
  <c r="M438" i="2"/>
  <c r="M430" i="2"/>
  <c r="M422" i="2"/>
  <c r="M414" i="2"/>
  <c r="M406" i="2"/>
  <c r="M398" i="2"/>
  <c r="M390" i="2"/>
  <c r="M382" i="2"/>
  <c r="M374" i="2"/>
  <c r="M366" i="2"/>
  <c r="M358" i="2"/>
  <c r="M350" i="2"/>
  <c r="M342" i="2"/>
  <c r="M334" i="2"/>
  <c r="M326" i="2"/>
  <c r="M318" i="2"/>
  <c r="M310" i="2"/>
  <c r="M302" i="2"/>
  <c r="M294" i="2"/>
  <c r="M286" i="2"/>
  <c r="M278" i="2"/>
  <c r="M270" i="2"/>
  <c r="M262" i="2"/>
  <c r="M254" i="2"/>
  <c r="M246" i="2"/>
  <c r="M238" i="2"/>
  <c r="M230" i="2"/>
  <c r="M222" i="2"/>
  <c r="M214" i="2"/>
  <c r="M206" i="2"/>
  <c r="M198" i="2"/>
  <c r="M190" i="2"/>
  <c r="M182" i="2"/>
  <c r="M174" i="2"/>
  <c r="M166" i="2"/>
  <c r="M158" i="2"/>
  <c r="M150" i="2"/>
  <c r="M142" i="2"/>
  <c r="M134" i="2"/>
  <c r="M126" i="2"/>
  <c r="M118" i="2"/>
  <c r="M110" i="2"/>
  <c r="M102" i="2"/>
  <c r="M94" i="2"/>
  <c r="M86" i="2"/>
  <c r="M78" i="2"/>
  <c r="M70" i="2"/>
  <c r="M62" i="2"/>
  <c r="M54" i="2"/>
  <c r="M46" i="2"/>
  <c r="M38" i="2"/>
  <c r="M30" i="2"/>
  <c r="M22" i="2"/>
  <c r="M14" i="2"/>
  <c r="M6" i="2"/>
  <c r="M501" i="2"/>
  <c r="M493" i="2"/>
  <c r="M485" i="2"/>
  <c r="M477" i="2"/>
  <c r="M469" i="2"/>
  <c r="M461" i="2"/>
  <c r="M453" i="2"/>
  <c r="M445" i="2"/>
  <c r="M437" i="2"/>
  <c r="M429" i="2"/>
  <c r="M421" i="2"/>
  <c r="M413" i="2"/>
  <c r="M405" i="2"/>
  <c r="M397" i="2"/>
  <c r="M389" i="2"/>
  <c r="M381" i="2"/>
  <c r="M373" i="2"/>
  <c r="M365" i="2"/>
  <c r="M357" i="2"/>
  <c r="M349" i="2"/>
  <c r="M341" i="2"/>
  <c r="M333" i="2"/>
  <c r="M325" i="2"/>
  <c r="M317" i="2"/>
  <c r="M309" i="2"/>
  <c r="M301" i="2"/>
  <c r="M293" i="2"/>
  <c r="M285" i="2"/>
  <c r="M277" i="2"/>
  <c r="M269" i="2"/>
  <c r="M261" i="2"/>
  <c r="M253" i="2"/>
  <c r="M245" i="2"/>
  <c r="M237" i="2"/>
  <c r="M229" i="2"/>
  <c r="M221" i="2"/>
  <c r="M213" i="2"/>
  <c r="M205" i="2"/>
  <c r="M197" i="2"/>
  <c r="M189" i="2"/>
  <c r="M181" i="2"/>
  <c r="M173" i="2"/>
  <c r="M165" i="2"/>
  <c r="M157" i="2"/>
  <c r="M149" i="2"/>
  <c r="M141" i="2"/>
  <c r="M133" i="2"/>
  <c r="M125" i="2"/>
  <c r="M117" i="2"/>
  <c r="M109" i="2"/>
  <c r="M101" i="2"/>
  <c r="M93" i="2"/>
  <c r="M85" i="2"/>
  <c r="M77" i="2"/>
  <c r="M69" i="2"/>
  <c r="M61" i="2"/>
  <c r="M53" i="2"/>
  <c r="M45" i="2"/>
  <c r="M37" i="2"/>
  <c r="M29" i="2"/>
  <c r="M21" i="2"/>
  <c r="M13" i="2"/>
  <c r="M5" i="2"/>
  <c r="M500" i="2"/>
  <c r="M492" i="2"/>
  <c r="M484" i="2"/>
  <c r="M476" i="2"/>
  <c r="M468" i="2"/>
  <c r="M460" i="2"/>
  <c r="M452" i="2"/>
  <c r="M444" i="2"/>
  <c r="M436" i="2"/>
  <c r="M428" i="2"/>
  <c r="M420" i="2"/>
  <c r="M412" i="2"/>
  <c r="M404" i="2"/>
  <c r="M396" i="2"/>
  <c r="M388" i="2"/>
  <c r="M380" i="2"/>
  <c r="M372" i="2"/>
  <c r="M364" i="2"/>
  <c r="M356" i="2"/>
  <c r="M348" i="2"/>
  <c r="M340" i="2"/>
  <c r="M332" i="2"/>
  <c r="M324" i="2"/>
  <c r="M316" i="2"/>
  <c r="M308" i="2"/>
  <c r="M300" i="2"/>
  <c r="M292" i="2"/>
  <c r="M284" i="2"/>
  <c r="M276" i="2"/>
  <c r="M268" i="2"/>
  <c r="M260" i="2"/>
  <c r="M252" i="2"/>
  <c r="M244" i="2"/>
  <c r="M236" i="2"/>
  <c r="M228" i="2"/>
  <c r="M220" i="2"/>
  <c r="M212" i="2"/>
  <c r="M204" i="2"/>
  <c r="M196" i="2"/>
  <c r="M188" i="2"/>
  <c r="M180" i="2"/>
  <c r="M172" i="2"/>
  <c r="M164" i="2"/>
  <c r="M156" i="2"/>
  <c r="M148" i="2"/>
  <c r="M140" i="2"/>
  <c r="M132" i="2"/>
  <c r="M124" i="2"/>
  <c r="M116" i="2"/>
  <c r="M108" i="2"/>
  <c r="M100" i="2"/>
  <c r="M92" i="2"/>
  <c r="M84" i="2"/>
  <c r="M76" i="2"/>
  <c r="M68" i="2"/>
  <c r="M60" i="2"/>
  <c r="M52" i="2"/>
  <c r="M44" i="2"/>
  <c r="M36" i="2"/>
  <c r="M28" i="2"/>
  <c r="M20" i="2"/>
  <c r="M12" i="2"/>
  <c r="M4" i="2"/>
  <c r="M499" i="2"/>
  <c r="M491" i="2"/>
  <c r="M483" i="2"/>
  <c r="M475" i="2"/>
  <c r="M467" i="2"/>
  <c r="M459" i="2"/>
  <c r="M451" i="2"/>
  <c r="M443" i="2"/>
  <c r="M435" i="2"/>
  <c r="M427" i="2"/>
  <c r="M419" i="2"/>
  <c r="M411" i="2"/>
  <c r="M403" i="2"/>
  <c r="M395" i="2"/>
  <c r="M387" i="2"/>
  <c r="M379" i="2"/>
  <c r="M371" i="2"/>
  <c r="M363" i="2"/>
  <c r="M355" i="2"/>
  <c r="M347" i="2"/>
  <c r="M339" i="2"/>
  <c r="M331" i="2"/>
  <c r="M323" i="2"/>
  <c r="M315" i="2"/>
  <c r="M307" i="2"/>
  <c r="M299" i="2"/>
  <c r="M291" i="2"/>
  <c r="M283" i="2"/>
  <c r="M275" i="2"/>
  <c r="M267" i="2"/>
  <c r="M259" i="2"/>
  <c r="M251" i="2"/>
  <c r="M243" i="2"/>
  <c r="M235" i="2"/>
  <c r="M227" i="2"/>
  <c r="M219" i="2"/>
  <c r="M211" i="2"/>
  <c r="M203" i="2"/>
  <c r="M195" i="2"/>
  <c r="M187" i="2"/>
  <c r="M179" i="2"/>
  <c r="M171" i="2"/>
  <c r="M163" i="2"/>
  <c r="M155" i="2"/>
  <c r="M147" i="2"/>
  <c r="M139" i="2"/>
  <c r="M131" i="2"/>
  <c r="M123" i="2"/>
  <c r="M115" i="2"/>
  <c r="M107" i="2"/>
  <c r="M99" i="2"/>
  <c r="M91" i="2"/>
  <c r="M83" i="2"/>
  <c r="M75" i="2"/>
  <c r="M67" i="2"/>
  <c r="M59" i="2"/>
  <c r="M51" i="2"/>
  <c r="M43" i="2"/>
  <c r="M35" i="2"/>
  <c r="M27" i="2"/>
  <c r="M19" i="2"/>
  <c r="M11" i="2"/>
  <c r="M3" i="2"/>
  <c r="M2" i="2"/>
</calcChain>
</file>

<file path=xl/sharedStrings.xml><?xml version="1.0" encoding="utf-8"?>
<sst xmlns="http://schemas.openxmlformats.org/spreadsheetml/2006/main" count="512" uniqueCount="453">
  <si>
    <t>KEVIN</t>
  </si>
  <si>
    <t>JULES</t>
  </si>
  <si>
    <t>MARTIN</t>
  </si>
  <si>
    <t>THIBAULT</t>
  </si>
  <si>
    <t>JEANNE</t>
  </si>
  <si>
    <t>FOURNEL</t>
  </si>
  <si>
    <t>DUVAL</t>
  </si>
  <si>
    <t>HUGO</t>
  </si>
  <si>
    <t>CLAIRE</t>
  </si>
  <si>
    <t>ALEXANDRE</t>
  </si>
  <si>
    <t>MELANIE</t>
  </si>
  <si>
    <t>EDGAR</t>
  </si>
  <si>
    <t>HADRIEN</t>
  </si>
  <si>
    <t>LEO</t>
  </si>
  <si>
    <t>EMMA</t>
  </si>
  <si>
    <t>GUILLAUME</t>
  </si>
  <si>
    <t>ENZO</t>
  </si>
  <si>
    <t>LUCIE</t>
  </si>
  <si>
    <t>NICOLAS</t>
  </si>
  <si>
    <t>CAMILLE</t>
  </si>
  <si>
    <t>LAVIGNE</t>
  </si>
  <si>
    <t>ANTOINE</t>
  </si>
  <si>
    <t>EMPTY</t>
  </si>
  <si>
    <t>MATHYS</t>
  </si>
  <si>
    <t>LEA</t>
  </si>
  <si>
    <t>EVA</t>
  </si>
  <si>
    <t>CLEMENTINE</t>
  </si>
  <si>
    <t>ROMAIN</t>
  </si>
  <si>
    <t>CHLOE</t>
  </si>
  <si>
    <t>MARGOT</t>
  </si>
  <si>
    <t>LUCAS</t>
  </si>
  <si>
    <t>SALOME</t>
  </si>
  <si>
    <t>MATHILDE</t>
  </si>
  <si>
    <t>DAMIEN</t>
  </si>
  <si>
    <t>ROMANE</t>
  </si>
  <si>
    <t>PAULINE</t>
  </si>
  <si>
    <t>LORIS</t>
  </si>
  <si>
    <t>SARAH</t>
  </si>
  <si>
    <t>THOMAS</t>
  </si>
  <si>
    <t>LOUISE</t>
  </si>
  <si>
    <t>AMBRE</t>
  </si>
  <si>
    <t>FLORIAN</t>
  </si>
  <si>
    <t>QUENTIN</t>
  </si>
  <si>
    <t>MATHIS</t>
  </si>
  <si>
    <t>TOM</t>
  </si>
  <si>
    <t>ZOE</t>
  </si>
  <si>
    <t>DAVID</t>
  </si>
  <si>
    <t>LEONARD</t>
  </si>
  <si>
    <t>CHARLOTTE</t>
  </si>
  <si>
    <t>NATHAN</t>
  </si>
  <si>
    <t>ANAIS</t>
  </si>
  <si>
    <t>LOIC</t>
  </si>
  <si>
    <t>ELSA</t>
  </si>
  <si>
    <t>CAPUCINE</t>
  </si>
  <si>
    <t>CLEMENT</t>
  </si>
  <si>
    <t>NOE</t>
  </si>
  <si>
    <t>JENNANE</t>
  </si>
  <si>
    <t>AVRILLIER</t>
  </si>
  <si>
    <t>QUENOT</t>
  </si>
  <si>
    <t>RAYAN</t>
  </si>
  <si>
    <t>SULIET</t>
  </si>
  <si>
    <t>ASSOUMAN</t>
  </si>
  <si>
    <t>ATAHA</t>
  </si>
  <si>
    <t>MAEL</t>
  </si>
  <si>
    <t>DELCOURT</t>
  </si>
  <si>
    <t>MENONI</t>
  </si>
  <si>
    <t>NAEP</t>
  </si>
  <si>
    <t>ANGELINA</t>
  </si>
  <si>
    <t>FOFANA</t>
  </si>
  <si>
    <t>MBONGUEDUAGI</t>
  </si>
  <si>
    <t>BRICHET</t>
  </si>
  <si>
    <t>ZACCHARIE</t>
  </si>
  <si>
    <t>CHAUFFAUD</t>
  </si>
  <si>
    <t>MALIN</t>
  </si>
  <si>
    <t>MOSLIH</t>
  </si>
  <si>
    <t>LACAVE</t>
  </si>
  <si>
    <t>GOULESQUE</t>
  </si>
  <si>
    <t>ROUCHICHE</t>
  </si>
  <si>
    <t>DESTONQUERES</t>
  </si>
  <si>
    <t>GRELIER</t>
  </si>
  <si>
    <t>ESTELIA</t>
  </si>
  <si>
    <t>PRIEZ</t>
  </si>
  <si>
    <t>CAROOT</t>
  </si>
  <si>
    <t>YANN</t>
  </si>
  <si>
    <t>PAILHE</t>
  </si>
  <si>
    <t>MELINE</t>
  </si>
  <si>
    <t>MANON</t>
  </si>
  <si>
    <t>DEXBOM</t>
  </si>
  <si>
    <t>IBRAHIM</t>
  </si>
  <si>
    <t>GUIDESOQ</t>
  </si>
  <si>
    <t>MATTEO</t>
  </si>
  <si>
    <t>YOUSSIF</t>
  </si>
  <si>
    <t>ANNA</t>
  </si>
  <si>
    <t>ALSIDCHIKH</t>
  </si>
  <si>
    <t>ZIHLMANN</t>
  </si>
  <si>
    <t>EHAINA</t>
  </si>
  <si>
    <t>OLIVIER</t>
  </si>
  <si>
    <t>BERTRAND</t>
  </si>
  <si>
    <t>MATTHEW</t>
  </si>
  <si>
    <t>BRUNET</t>
  </si>
  <si>
    <t>BLANDINE</t>
  </si>
  <si>
    <t>HAMDI</t>
  </si>
  <si>
    <t>LEVY</t>
  </si>
  <si>
    <t>CADOT</t>
  </si>
  <si>
    <t>BONNARDEL</t>
  </si>
  <si>
    <t>BOUMDI</t>
  </si>
  <si>
    <t>HALLEGUEN</t>
  </si>
  <si>
    <t>LARIBI</t>
  </si>
  <si>
    <t>LUCY</t>
  </si>
  <si>
    <t>NOYER</t>
  </si>
  <si>
    <t>MARINA</t>
  </si>
  <si>
    <t>LEORI</t>
  </si>
  <si>
    <t>POUPIN</t>
  </si>
  <si>
    <t>TIBERGHIEM</t>
  </si>
  <si>
    <t>MICHEL</t>
  </si>
  <si>
    <t>HANON</t>
  </si>
  <si>
    <t>DELAUNAY</t>
  </si>
  <si>
    <t>MICHAELA</t>
  </si>
  <si>
    <t>SAMUEL</t>
  </si>
  <si>
    <t>KESSIER</t>
  </si>
  <si>
    <t>CHAUVIN</t>
  </si>
  <si>
    <t>MARCHAL</t>
  </si>
  <si>
    <t>MOCOUART</t>
  </si>
  <si>
    <t>TALINE</t>
  </si>
  <si>
    <t>REGIBAUD</t>
  </si>
  <si>
    <t>DEMARET</t>
  </si>
  <si>
    <t>NOUR</t>
  </si>
  <si>
    <t>MAELLE</t>
  </si>
  <si>
    <t>VALENTINA</t>
  </si>
  <si>
    <t>EMPRIN</t>
  </si>
  <si>
    <t>LEONIE</t>
  </si>
  <si>
    <t>JANNET</t>
  </si>
  <si>
    <t>KYLIAN</t>
  </si>
  <si>
    <t>DORIAN</t>
  </si>
  <si>
    <t>LAURA</t>
  </si>
  <si>
    <t>TAUARES</t>
  </si>
  <si>
    <t>MEHEUT</t>
  </si>
  <si>
    <t>MAILLOUX</t>
  </si>
  <si>
    <t>PEREZ FERRON</t>
  </si>
  <si>
    <t>RIQUIER</t>
  </si>
  <si>
    <t>ELIE</t>
  </si>
  <si>
    <t>MATTON</t>
  </si>
  <si>
    <t>ANAELLE</t>
  </si>
  <si>
    <t>SIXTINE</t>
  </si>
  <si>
    <t>BONENFANT</t>
  </si>
  <si>
    <t>OCTAVE</t>
  </si>
  <si>
    <t>LEONIEE</t>
  </si>
  <si>
    <t>GABIN</t>
  </si>
  <si>
    <t>ELOISE</t>
  </si>
  <si>
    <t>JARMOSZKO</t>
  </si>
  <si>
    <t>CHERU</t>
  </si>
  <si>
    <t>MARYLISE</t>
  </si>
  <si>
    <t>AUBERT</t>
  </si>
  <si>
    <t>PAJIER</t>
  </si>
  <si>
    <t>HELARY</t>
  </si>
  <si>
    <t>RACHEL</t>
  </si>
  <si>
    <t>ABEDI</t>
  </si>
  <si>
    <t>GASPARD</t>
  </si>
  <si>
    <t>SINAYOGO</t>
  </si>
  <si>
    <t>PERLE</t>
  </si>
  <si>
    <t>FAYOLLE</t>
  </si>
  <si>
    <t>LEGUAY</t>
  </si>
  <si>
    <t>QUENAULT</t>
  </si>
  <si>
    <t>CRILOUX</t>
  </si>
  <si>
    <t>THEO</t>
  </si>
  <si>
    <t>GEOFFREY</t>
  </si>
  <si>
    <t>HAUDIQUERT</t>
  </si>
  <si>
    <t>BERBAGUI</t>
  </si>
  <si>
    <t>AMIRA</t>
  </si>
  <si>
    <t>LAURIE</t>
  </si>
  <si>
    <t>KHADRAOUI</t>
  </si>
  <si>
    <t>BENOIT</t>
  </si>
  <si>
    <t>GUEENINI</t>
  </si>
  <si>
    <t>TAMOUM</t>
  </si>
  <si>
    <t>EMZA</t>
  </si>
  <si>
    <t>GININES</t>
  </si>
  <si>
    <t>BARDEL</t>
  </si>
  <si>
    <t>DEMARE</t>
  </si>
  <si>
    <t>COVET</t>
  </si>
  <si>
    <t>SOUCASSE</t>
  </si>
  <si>
    <t>MANO</t>
  </si>
  <si>
    <t>PASQUER</t>
  </si>
  <si>
    <t>GUN</t>
  </si>
  <si>
    <t>BANDESVILLE</t>
  </si>
  <si>
    <t>SULIVAN</t>
  </si>
  <si>
    <t>LEMIRE</t>
  </si>
  <si>
    <t>FERRIGNO</t>
  </si>
  <si>
    <t>SARTEL</t>
  </si>
  <si>
    <t>GAETAN</t>
  </si>
  <si>
    <t>JOHANN</t>
  </si>
  <si>
    <t>MARCANO</t>
  </si>
  <si>
    <t>GAUTIER</t>
  </si>
  <si>
    <t>MOUDIO PRISO</t>
  </si>
  <si>
    <t>DELOUANE</t>
  </si>
  <si>
    <t>AUDOUBERT</t>
  </si>
  <si>
    <t>CARRE</t>
  </si>
  <si>
    <t>JOE</t>
  </si>
  <si>
    <t>FAUVARQUE</t>
  </si>
  <si>
    <t>GRAND</t>
  </si>
  <si>
    <t>KEDEREI</t>
  </si>
  <si>
    <t>RAYANE</t>
  </si>
  <si>
    <t>CZAJKOWSKI</t>
  </si>
  <si>
    <t>DOBOC</t>
  </si>
  <si>
    <t>DURIS</t>
  </si>
  <si>
    <t>WELCKER</t>
  </si>
  <si>
    <t>FANELIE</t>
  </si>
  <si>
    <t>GOUDUIL</t>
  </si>
  <si>
    <t>MAUDOUSSIN</t>
  </si>
  <si>
    <t>MAXIME</t>
  </si>
  <si>
    <t>YALROT</t>
  </si>
  <si>
    <t>VILLEROY</t>
  </si>
  <si>
    <t>KELIAN</t>
  </si>
  <si>
    <t>DECINTAS</t>
  </si>
  <si>
    <t>TITOUAN</t>
  </si>
  <si>
    <t>ALESSANDRO</t>
  </si>
  <si>
    <t>TOINE</t>
  </si>
  <si>
    <t>AXELLE</t>
  </si>
  <si>
    <t>EL YERQROUCH</t>
  </si>
  <si>
    <t>PORTIER</t>
  </si>
  <si>
    <t>LIBERAL</t>
  </si>
  <si>
    <t>WILLIOT</t>
  </si>
  <si>
    <t>MSAYAH</t>
  </si>
  <si>
    <t>JOEY</t>
  </si>
  <si>
    <t>TIFANNY</t>
  </si>
  <si>
    <t>ASTOUL</t>
  </si>
  <si>
    <t>PARNASSE</t>
  </si>
  <si>
    <t>HALLER</t>
  </si>
  <si>
    <t>EMY</t>
  </si>
  <si>
    <t>BRETEY</t>
  </si>
  <si>
    <t>PORCHIER</t>
  </si>
  <si>
    <t>FITAN</t>
  </si>
  <si>
    <t>GUILLAUNE</t>
  </si>
  <si>
    <t>ALBAN</t>
  </si>
  <si>
    <t>SANJAY</t>
  </si>
  <si>
    <t>CALIN</t>
  </si>
  <si>
    <t>HABIOT</t>
  </si>
  <si>
    <t>DASSIE</t>
  </si>
  <si>
    <t>WILLIAM</t>
  </si>
  <si>
    <t>CLARA</t>
  </si>
  <si>
    <t>AURELIEN</t>
  </si>
  <si>
    <t>LORFROIS</t>
  </si>
  <si>
    <t>LABONDE</t>
  </si>
  <si>
    <t>RAZOULS</t>
  </si>
  <si>
    <t>MARIANNE</t>
  </si>
  <si>
    <t>MOUROU</t>
  </si>
  <si>
    <t>SAINT - LAURENT</t>
  </si>
  <si>
    <t>BEGUIN</t>
  </si>
  <si>
    <t>AGLAE</t>
  </si>
  <si>
    <t>ILOONA</t>
  </si>
  <si>
    <t>GARCIA</t>
  </si>
  <si>
    <t>PELON</t>
  </si>
  <si>
    <t>JEAN</t>
  </si>
  <si>
    <t>GASTOU</t>
  </si>
  <si>
    <t>AMEL</t>
  </si>
  <si>
    <t>LECONTE</t>
  </si>
  <si>
    <t>PIERRE LOUIS</t>
  </si>
  <si>
    <t>TATIANA</t>
  </si>
  <si>
    <t>JAROD</t>
  </si>
  <si>
    <t>CARVALHO</t>
  </si>
  <si>
    <t>LILA</t>
  </si>
  <si>
    <t>NOELIE</t>
  </si>
  <si>
    <t>NGAMBI</t>
  </si>
  <si>
    <t>JOLY</t>
  </si>
  <si>
    <t>D'HALLUIN</t>
  </si>
  <si>
    <t>YORWYN</t>
  </si>
  <si>
    <t>ESTEBAN</t>
  </si>
  <si>
    <t>ANTONIN</t>
  </si>
  <si>
    <t>SANTUCCI</t>
  </si>
  <si>
    <t>LOUVRY</t>
  </si>
  <si>
    <t>THIBAVT</t>
  </si>
  <si>
    <t>CLAVERIE</t>
  </si>
  <si>
    <t>HAYNADIER</t>
  </si>
  <si>
    <t>MARINE</t>
  </si>
  <si>
    <t>DUONG</t>
  </si>
  <si>
    <t>LIN</t>
  </si>
  <si>
    <t>BOUTON</t>
  </si>
  <si>
    <t>SORIANO</t>
  </si>
  <si>
    <t>CAVILLON</t>
  </si>
  <si>
    <t>ALICIA</t>
  </si>
  <si>
    <t>MEYLAN-MATERNE</t>
  </si>
  <si>
    <t>LAGARDE</t>
  </si>
  <si>
    <t>MAXIM ZACK</t>
  </si>
  <si>
    <t>GRIMAUD</t>
  </si>
  <si>
    <t>GHERASIN</t>
  </si>
  <si>
    <t>LE ROUX</t>
  </si>
  <si>
    <t>ADELIE</t>
  </si>
  <si>
    <t>GIRAUD</t>
  </si>
  <si>
    <t>PIERRE - ANTOINE</t>
  </si>
  <si>
    <t>COME</t>
  </si>
  <si>
    <t>FEA</t>
  </si>
  <si>
    <t>PINELAS</t>
  </si>
  <si>
    <t>IDRISS</t>
  </si>
  <si>
    <t>HANNAH</t>
  </si>
  <si>
    <t>JOANNE</t>
  </si>
  <si>
    <t>KARL</t>
  </si>
  <si>
    <t>ALVARELHO</t>
  </si>
  <si>
    <t>EDDIE</t>
  </si>
  <si>
    <t>FABRE</t>
  </si>
  <si>
    <t>PRADEAU</t>
  </si>
  <si>
    <t>THEAU</t>
  </si>
  <si>
    <t>VICTOR</t>
  </si>
  <si>
    <t>CAZAL</t>
  </si>
  <si>
    <t>CONRAD</t>
  </si>
  <si>
    <t>FLEURY</t>
  </si>
  <si>
    <t>AMANDINE</t>
  </si>
  <si>
    <t>TREPANT</t>
  </si>
  <si>
    <t>BAGHI</t>
  </si>
  <si>
    <t>MAMPUYA</t>
  </si>
  <si>
    <t>THIBAUT</t>
  </si>
  <si>
    <t>CHLOEE</t>
  </si>
  <si>
    <t>FLAMENCOURT</t>
  </si>
  <si>
    <t>MENEZ</t>
  </si>
  <si>
    <t>RIVIER</t>
  </si>
  <si>
    <t>LAENNEC</t>
  </si>
  <si>
    <t>COMBE</t>
  </si>
  <si>
    <t>DERVY</t>
  </si>
  <si>
    <t>DUBOIS</t>
  </si>
  <si>
    <t>AUDE</t>
  </si>
  <si>
    <t>LAURENT</t>
  </si>
  <si>
    <t>GAUNET</t>
  </si>
  <si>
    <t>DELHPORTE</t>
  </si>
  <si>
    <t>JACQUES</t>
  </si>
  <si>
    <t>EISSE</t>
  </si>
  <si>
    <t>ADAM</t>
  </si>
  <si>
    <t>LAURIANCE</t>
  </si>
  <si>
    <t>CUNA</t>
  </si>
  <si>
    <t>DAVRINCHE</t>
  </si>
  <si>
    <t>TAZEKOUT</t>
  </si>
  <si>
    <t>EWA</t>
  </si>
  <si>
    <t>FILLON</t>
  </si>
  <si>
    <t>BENDAVID</t>
  </si>
  <si>
    <t>BONNENFANT</t>
  </si>
  <si>
    <t>BLEHOUAN</t>
  </si>
  <si>
    <t>DELAMARE</t>
  </si>
  <si>
    <t>ERWANN</t>
  </si>
  <si>
    <t>YASEMIN</t>
  </si>
  <si>
    <t>INAKI</t>
  </si>
  <si>
    <t>LASCAUX</t>
  </si>
  <si>
    <t>HASSON</t>
  </si>
  <si>
    <t>DE OLIVEIRA VIEIRA</t>
  </si>
  <si>
    <t>MICAH</t>
  </si>
  <si>
    <t>AGAFIA</t>
  </si>
  <si>
    <t>STROHM</t>
  </si>
  <si>
    <t>MALOU</t>
  </si>
  <si>
    <t>BOURDACHE</t>
  </si>
  <si>
    <t>PASQUIER</t>
  </si>
  <si>
    <t>COLOM</t>
  </si>
  <si>
    <t>LAUR</t>
  </si>
  <si>
    <t>CAPUOZZI</t>
  </si>
  <si>
    <t>MURUGANANTHAN</t>
  </si>
  <si>
    <t>YVAN</t>
  </si>
  <si>
    <t>MIGUEL</t>
  </si>
  <si>
    <t>GARBAL</t>
  </si>
  <si>
    <t>COHHERCY</t>
  </si>
  <si>
    <t>CROUTTE</t>
  </si>
  <si>
    <t>JEAN - BATISTE</t>
  </si>
  <si>
    <t>GRIFEON</t>
  </si>
  <si>
    <t>OLIVIA</t>
  </si>
  <si>
    <t>WAGNER</t>
  </si>
  <si>
    <t>DIALLO</t>
  </si>
  <si>
    <t>MARIEHE</t>
  </si>
  <si>
    <t>LEBAIL</t>
  </si>
  <si>
    <t>CAUDAL</t>
  </si>
  <si>
    <t>YSALINE</t>
  </si>
  <si>
    <t>TRAN-MINH</t>
  </si>
  <si>
    <t>METIVIER</t>
  </si>
  <si>
    <t>COUTARD</t>
  </si>
  <si>
    <t>GENNESAY</t>
  </si>
  <si>
    <t>LAUREE</t>
  </si>
  <si>
    <t>PACONE</t>
  </si>
  <si>
    <t>PARAF</t>
  </si>
  <si>
    <t>AURIANE</t>
  </si>
  <si>
    <t>FAIZ</t>
  </si>
  <si>
    <t>PRYOT</t>
  </si>
  <si>
    <t>DUMONT</t>
  </si>
  <si>
    <t>MIGLIORETTI</t>
  </si>
  <si>
    <t>JULIE</t>
  </si>
  <si>
    <t>OZDOEV</t>
  </si>
  <si>
    <t>LOUIS-JOSEPH</t>
  </si>
  <si>
    <t>VICTORIA</t>
  </si>
  <si>
    <t>RENAULD</t>
  </si>
  <si>
    <t>CHEVALIER</t>
  </si>
  <si>
    <t>PLANTARD</t>
  </si>
  <si>
    <t>BASSABI</t>
  </si>
  <si>
    <t>BONNARD</t>
  </si>
  <si>
    <t>LOGAN</t>
  </si>
  <si>
    <t>MALMARTEL</t>
  </si>
  <si>
    <t>WILTZ</t>
  </si>
  <si>
    <t>RIBEREAU-GAYON</t>
  </si>
  <si>
    <t>ABDERRAHMAN</t>
  </si>
  <si>
    <t>DAMANI</t>
  </si>
  <si>
    <t>FRANK</t>
  </si>
  <si>
    <t>MORINI</t>
  </si>
  <si>
    <t>KIERIAN</t>
  </si>
  <si>
    <t>ELISA</t>
  </si>
  <si>
    <t>ROLLET</t>
  </si>
  <si>
    <t>BUER</t>
  </si>
  <si>
    <t>DOUCET</t>
  </si>
  <si>
    <t>SORLET</t>
  </si>
  <si>
    <t>MARION</t>
  </si>
  <si>
    <t>EAZO</t>
  </si>
  <si>
    <t>BAPTISTE</t>
  </si>
  <si>
    <t>HELOISE</t>
  </si>
  <si>
    <t>LAMBERGER</t>
  </si>
  <si>
    <t>MOHAMED</t>
  </si>
  <si>
    <t>CERMENO-VIVANCOS</t>
  </si>
  <si>
    <t>MAMBRE</t>
  </si>
  <si>
    <t>CHOL</t>
  </si>
  <si>
    <t>ALICE</t>
  </si>
  <si>
    <t>JEAN-FILIPE</t>
  </si>
  <si>
    <t>DESSAPT-MUBLOT</t>
  </si>
  <si>
    <t>DONG</t>
  </si>
  <si>
    <t>GERMAIN</t>
  </si>
  <si>
    <t>DANIEL</t>
  </si>
  <si>
    <t>ANAYS</t>
  </si>
  <si>
    <t>DELANOE</t>
  </si>
  <si>
    <t>DOUDJA</t>
  </si>
  <si>
    <t>AFLAH</t>
  </si>
  <si>
    <t>PEPIN</t>
  </si>
  <si>
    <t>KYLA</t>
  </si>
  <si>
    <t>SCOTTO DE UCCIO</t>
  </si>
  <si>
    <t>ULYSSE</t>
  </si>
  <si>
    <t>DERME</t>
  </si>
  <si>
    <t>HAMMI</t>
  </si>
  <si>
    <t>FARDIN</t>
  </si>
  <si>
    <t>BIELAWSKI</t>
  </si>
  <si>
    <t>KATELL</t>
  </si>
  <si>
    <t>BALAIN</t>
  </si>
  <si>
    <t>BOUCHIER</t>
  </si>
  <si>
    <t>LEGER</t>
  </si>
  <si>
    <t>SARRADE</t>
  </si>
  <si>
    <t>BIDOTTI</t>
  </si>
  <si>
    <t>LAHURTE</t>
  </si>
  <si>
    <t>GODDE</t>
  </si>
  <si>
    <t>PIERRE</t>
  </si>
  <si>
    <t>JULIEN</t>
  </si>
  <si>
    <t>EMELINE</t>
  </si>
  <si>
    <t>LYNE</t>
  </si>
  <si>
    <t>RUIVARD</t>
  </si>
  <si>
    <t>BONNETERRE</t>
  </si>
  <si>
    <t>Employee ID</t>
  </si>
  <si>
    <t>Name</t>
  </si>
  <si>
    <t>Month</t>
  </si>
  <si>
    <t>Region</t>
  </si>
  <si>
    <t>State</t>
  </si>
  <si>
    <t>Department</t>
  </si>
  <si>
    <t>Job Role</t>
  </si>
  <si>
    <t>Product Category</t>
  </si>
  <si>
    <t>Units Sold</t>
  </si>
  <si>
    <t xml:space="preserve">Sales </t>
  </si>
  <si>
    <t>Profits</t>
  </si>
  <si>
    <t>Target Value</t>
  </si>
  <si>
    <t>Targets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</si>
</sst>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tabSelected="1" topLeftCell="E1" workbookViewId="0"/>
  </sheetViews>
  <sheetFormatPr defaultRowHeight="15" x14ac:dyDescent="0.25"/>
  <cols>
    <col min="1" max="1" width="15.42578125" customWidth="1"/>
    <col min="2" max="2" width="26.28515625" customWidth="1"/>
    <col min="3" max="3" width="14.7109375" customWidth="1"/>
    <col min="4" max="4" width="19.42578125" customWidth="1"/>
    <col min="5" max="5" width="24" customWidth="1"/>
    <col min="6" max="6" width="22.28515625" customWidth="1"/>
    <col min="7" max="7" width="24.140625" customWidth="1"/>
    <col min="8" max="8" width="17.85546875" customWidth="1"/>
    <col min="9" max="9" width="13.140625" customWidth="1"/>
    <col min="10" max="10" width="19.85546875" customWidth="1"/>
    <col min="11" max="11" width="21" customWidth="1"/>
    <col min="12" max="12" width="27.5703125" customWidth="1"/>
    <col min="13" max="14" width="25.28515625" customWidth="1"/>
    <col min="15" max="15" width="23" customWidth="1"/>
  </cols>
  <sheetData>
    <row r="1" spans="1:14" x14ac:dyDescent="0.25">
      <c r="A1" s="2" t="s">
        <v>440</v>
      </c>
      <c r="B1" s="2" t="s">
        <v>441</v>
      </c>
      <c r="C1" s="2" t="s">
        <v>442</v>
      </c>
      <c r="D1" s="2" t="s">
        <v>443</v>
      </c>
      <c r="E1" s="2" t="s">
        <v>444</v>
      </c>
      <c r="F1" s="2" t="s">
        <v>445</v>
      </c>
      <c r="G1" s="2" t="s">
        <v>446</v>
      </c>
      <c r="H1" s="2" t="s">
        <v>447</v>
      </c>
      <c r="I1" s="2" t="s">
        <v>448</v>
      </c>
      <c r="J1" s="2" t="s">
        <v>449</v>
      </c>
      <c r="K1" s="2" t="s">
        <v>450</v>
      </c>
      <c r="L1" s="2" t="s">
        <v>451</v>
      </c>
      <c r="M1" s="2" t="s">
        <v>452</v>
      </c>
      <c r="N1" s="1"/>
    </row>
    <row r="2" spans="1:14" x14ac:dyDescent="0.25">
      <c r="A2" s="2" t="str">
        <f>"E"&amp;TEXT(ROW(A1),"000")</f>
        <v>E001</v>
      </c>
      <c r="B2" s="2" t="s">
        <v>0</v>
      </c>
      <c r="C2" s="2" t="str">
        <f ca="1">CHOOSE(RANDBETWEEN(1,12),"Jan","Feb","Mar","Apr","May","Jun","Jul","Aug","Sep","Oct","Nov","Dec")</f>
        <v>May</v>
      </c>
      <c r="D2" s="2" t="str">
        <f ca="1">CHOOSE(RANDBETWEEN(1,4),"North","South","East","West")</f>
        <v>West</v>
      </c>
      <c r="E2" s="2" t="str">
        <f ca="1">CHOOSE(RANDBETWEEN(1,6),"Punjab","Gujarat","Tamil Nadu","Madhya Pradesh","Delhi","West Bengal")</f>
        <v>Gujarat</v>
      </c>
      <c r="F2" s="2" t="str">
        <f ca="1">CHOOSE(RANDBETWEEN(1,6),"Sales","Marketing","Finance","Operations","HR","Customer Support")</f>
        <v>Operations</v>
      </c>
      <c r="G2" s="2" t="str">
        <f ca="1">CHOOSE(RANDBETWEEN(1,4),"Analyst","Executive","Supervisor","Specialist")</f>
        <v>Analyst</v>
      </c>
      <c r="H2" s="2" t="str">
        <f ca="1">CHOOSE(RANDBETWEEN(1,4),"Clothing","Shoes","Electronics","Books")</f>
        <v>Books</v>
      </c>
      <c r="I2" s="2">
        <f ca="1">RANDBETWEEN(5,100)</f>
        <v>97</v>
      </c>
      <c r="J2" s="2">
        <f ca="1">I2*RANDBETWEEN(200,1000)</f>
        <v>86233</v>
      </c>
      <c r="K2" s="2">
        <f ca="1">J2*RANDBETWEEN(-10,30)/100</f>
        <v>18971.259999999998</v>
      </c>
      <c r="L2" s="2">
        <f ca="1">RANDBETWEEN(10000,50000)</f>
        <v>24114</v>
      </c>
      <c r="M2" s="2" t="str">
        <f ca="1">IF(J2&gt;=L2,"Yes","No")</f>
        <v>Yes</v>
      </c>
    </row>
    <row r="3" spans="1:14" x14ac:dyDescent="0.25">
      <c r="A3" s="2" t="str">
        <f t="shared" ref="A3:A66" si="0">"E"&amp;TEXT(ROW(A2),"000")</f>
        <v>E002</v>
      </c>
      <c r="B3" s="2" t="s">
        <v>56</v>
      </c>
      <c r="C3" s="2" t="str">
        <f t="shared" ref="C3:C66" ca="1" si="1">CHOOSE(RANDBETWEEN(1,12),"Jan","Feb","Mar","Apr","May","Jun","Jul","Aug","Sep","Oct","Nov","Dec")</f>
        <v>Mar</v>
      </c>
      <c r="D3" s="2" t="str">
        <f t="shared" ref="D3:D66" ca="1" si="2">CHOOSE(RANDBETWEEN(1,4),"North","South","East","West")</f>
        <v>North</v>
      </c>
      <c r="E3" s="2" t="str">
        <f t="shared" ref="E3:E66" ca="1" si="3">CHOOSE(RANDBETWEEN(1,6),"Punjab","Gujarat","Tamil Nadu","Madhya Pradesh","Delhi","West Bengal")</f>
        <v>Gujarat</v>
      </c>
      <c r="F3" s="2" t="str">
        <f t="shared" ref="F3:F66" ca="1" si="4">CHOOSE(RANDBETWEEN(1,6),"Sales","Marketing","Finance","Operations","HR","Customer Support")</f>
        <v>HR</v>
      </c>
      <c r="G3" s="2" t="str">
        <f t="shared" ref="G3:G66" ca="1" si="5">CHOOSE(RANDBETWEEN(1,4),"Analyst","Executive","Supervisor","Specialist")</f>
        <v>Supervisor</v>
      </c>
      <c r="H3" s="2" t="str">
        <f t="shared" ref="H3:H66" ca="1" si="6">CHOOSE(RANDBETWEEN(1,4),"Clothing","Shoes","Electronics","Books")</f>
        <v>Clothing</v>
      </c>
      <c r="I3" s="2">
        <f t="shared" ref="I3:I66" ca="1" si="7">RANDBETWEEN(5,100)</f>
        <v>80</v>
      </c>
      <c r="J3" s="2">
        <f t="shared" ref="J3:J66" ca="1" si="8">I3*RANDBETWEEN(200,1000)</f>
        <v>74880</v>
      </c>
      <c r="K3" s="2">
        <f t="shared" ref="K3:K66" ca="1" si="9">J3*RANDBETWEEN(-10,30)/100</f>
        <v>-5241.6000000000004</v>
      </c>
      <c r="L3" s="2">
        <f t="shared" ref="L3:L66" ca="1" si="10">RANDBETWEEN(10000,50000)</f>
        <v>31100</v>
      </c>
      <c r="M3" s="2" t="str">
        <f t="shared" ref="M3:M66" ca="1" si="11">IF(J3&gt;=L3,"Yes","No")</f>
        <v>Yes</v>
      </c>
    </row>
    <row r="4" spans="1:14" x14ac:dyDescent="0.25">
      <c r="A4" s="2" t="str">
        <f t="shared" si="0"/>
        <v>E003</v>
      </c>
      <c r="B4" s="2" t="s">
        <v>38</v>
      </c>
      <c r="C4" s="2" t="str">
        <f t="shared" ca="1" si="1"/>
        <v>Dec</v>
      </c>
      <c r="D4" s="2" t="str">
        <f t="shared" ca="1" si="2"/>
        <v>North</v>
      </c>
      <c r="E4" s="2" t="str">
        <f t="shared" ca="1" si="3"/>
        <v>Delhi</v>
      </c>
      <c r="F4" s="2" t="str">
        <f t="shared" ca="1" si="4"/>
        <v>Operations</v>
      </c>
      <c r="G4" s="2" t="str">
        <f t="shared" ca="1" si="5"/>
        <v>Analyst</v>
      </c>
      <c r="H4" s="2" t="str">
        <f t="shared" ca="1" si="6"/>
        <v>Clothing</v>
      </c>
      <c r="I4" s="2">
        <f t="shared" ca="1" si="7"/>
        <v>89</v>
      </c>
      <c r="J4" s="2">
        <f t="shared" ca="1" si="8"/>
        <v>85885</v>
      </c>
      <c r="K4" s="2">
        <f t="shared" ca="1" si="9"/>
        <v>25765.5</v>
      </c>
      <c r="L4" s="2">
        <f t="shared" ca="1" si="10"/>
        <v>21270</v>
      </c>
      <c r="M4" s="2" t="str">
        <f t="shared" ca="1" si="11"/>
        <v>Yes</v>
      </c>
    </row>
    <row r="5" spans="1:14" x14ac:dyDescent="0.25">
      <c r="A5" s="2" t="str">
        <f t="shared" si="0"/>
        <v>E004</v>
      </c>
      <c r="B5" s="2" t="s">
        <v>52</v>
      </c>
      <c r="C5" s="2" t="str">
        <f t="shared" ca="1" si="1"/>
        <v>Oct</v>
      </c>
      <c r="D5" s="2" t="str">
        <f t="shared" ca="1" si="2"/>
        <v>North</v>
      </c>
      <c r="E5" s="2" t="str">
        <f t="shared" ca="1" si="3"/>
        <v>Madhya Pradesh</v>
      </c>
      <c r="F5" s="2" t="str">
        <f t="shared" ca="1" si="4"/>
        <v>HR</v>
      </c>
      <c r="G5" s="2" t="str">
        <f t="shared" ca="1" si="5"/>
        <v>Analyst</v>
      </c>
      <c r="H5" s="2" t="str">
        <f t="shared" ca="1" si="6"/>
        <v>Books</v>
      </c>
      <c r="I5" s="2">
        <f t="shared" ca="1" si="7"/>
        <v>13</v>
      </c>
      <c r="J5" s="2">
        <f t="shared" ca="1" si="8"/>
        <v>5733</v>
      </c>
      <c r="K5" s="2">
        <f t="shared" ca="1" si="9"/>
        <v>917.28</v>
      </c>
      <c r="L5" s="2">
        <f t="shared" ca="1" si="10"/>
        <v>36231</v>
      </c>
      <c r="M5" s="2" t="str">
        <f t="shared" ca="1" si="11"/>
        <v>No</v>
      </c>
    </row>
    <row r="6" spans="1:14" x14ac:dyDescent="0.25">
      <c r="A6" s="2" t="str">
        <f t="shared" si="0"/>
        <v>E005</v>
      </c>
      <c r="B6" s="2" t="s">
        <v>57</v>
      </c>
      <c r="C6" s="2" t="str">
        <f t="shared" ca="1" si="1"/>
        <v>Sep</v>
      </c>
      <c r="D6" s="2" t="str">
        <f t="shared" ca="1" si="2"/>
        <v>East</v>
      </c>
      <c r="E6" s="2" t="str">
        <f t="shared" ca="1" si="3"/>
        <v>Delhi</v>
      </c>
      <c r="F6" s="2" t="str">
        <f t="shared" ca="1" si="4"/>
        <v>Finance</v>
      </c>
      <c r="G6" s="2" t="str">
        <f t="shared" ca="1" si="5"/>
        <v>Executive</v>
      </c>
      <c r="H6" s="2" t="str">
        <f t="shared" ca="1" si="6"/>
        <v>Books</v>
      </c>
      <c r="I6" s="2">
        <f t="shared" ca="1" si="7"/>
        <v>97</v>
      </c>
      <c r="J6" s="2">
        <f t="shared" ca="1" si="8"/>
        <v>77018</v>
      </c>
      <c r="K6" s="2">
        <f t="shared" ca="1" si="9"/>
        <v>5391.26</v>
      </c>
      <c r="L6" s="2">
        <f t="shared" ca="1" si="10"/>
        <v>42879</v>
      </c>
      <c r="M6" s="2" t="str">
        <f t="shared" ca="1" si="11"/>
        <v>Yes</v>
      </c>
    </row>
    <row r="7" spans="1:14" x14ac:dyDescent="0.25">
      <c r="A7" s="2" t="str">
        <f t="shared" si="0"/>
        <v>E006</v>
      </c>
      <c r="B7" s="2" t="s">
        <v>58</v>
      </c>
      <c r="C7" s="2" t="str">
        <f t="shared" ca="1" si="1"/>
        <v>Sep</v>
      </c>
      <c r="D7" s="2" t="str">
        <f t="shared" ca="1" si="2"/>
        <v>South</v>
      </c>
      <c r="E7" s="2" t="str">
        <f t="shared" ca="1" si="3"/>
        <v>West Bengal</v>
      </c>
      <c r="F7" s="2" t="str">
        <f t="shared" ca="1" si="4"/>
        <v>Operations</v>
      </c>
      <c r="G7" s="2" t="str">
        <f t="shared" ca="1" si="5"/>
        <v>Executive</v>
      </c>
      <c r="H7" s="2" t="str">
        <f t="shared" ca="1" si="6"/>
        <v>Books</v>
      </c>
      <c r="I7" s="2">
        <f t="shared" ca="1" si="7"/>
        <v>47</v>
      </c>
      <c r="J7" s="2">
        <f t="shared" ca="1" si="8"/>
        <v>39292</v>
      </c>
      <c r="K7" s="2">
        <f t="shared" ca="1" si="9"/>
        <v>1964.6</v>
      </c>
      <c r="L7" s="2">
        <f t="shared" ca="1" si="10"/>
        <v>43749</v>
      </c>
      <c r="M7" s="2" t="str">
        <f t="shared" ca="1" si="11"/>
        <v>No</v>
      </c>
    </row>
    <row r="8" spans="1:14" x14ac:dyDescent="0.25">
      <c r="A8" s="2" t="str">
        <f t="shared" si="0"/>
        <v>E007</v>
      </c>
      <c r="B8" s="2" t="s">
        <v>49</v>
      </c>
      <c r="C8" s="2" t="str">
        <f t="shared" ca="1" si="1"/>
        <v>Dec</v>
      </c>
      <c r="D8" s="2" t="str">
        <f t="shared" ca="1" si="2"/>
        <v>North</v>
      </c>
      <c r="E8" s="2" t="str">
        <f t="shared" ca="1" si="3"/>
        <v>Gujarat</v>
      </c>
      <c r="F8" s="2" t="str">
        <f t="shared" ca="1" si="4"/>
        <v>Customer Support</v>
      </c>
      <c r="G8" s="2" t="str">
        <f t="shared" ca="1" si="5"/>
        <v>Analyst</v>
      </c>
      <c r="H8" s="2" t="str">
        <f t="shared" ca="1" si="6"/>
        <v>Clothing</v>
      </c>
      <c r="I8" s="2">
        <f t="shared" ca="1" si="7"/>
        <v>9</v>
      </c>
      <c r="J8" s="2">
        <f t="shared" ca="1" si="8"/>
        <v>3141</v>
      </c>
      <c r="K8" s="2">
        <f t="shared" ca="1" si="9"/>
        <v>628.20000000000005</v>
      </c>
      <c r="L8" s="2">
        <f t="shared" ca="1" si="10"/>
        <v>34172</v>
      </c>
      <c r="M8" s="2" t="str">
        <f t="shared" ca="1" si="11"/>
        <v>No</v>
      </c>
    </row>
    <row r="9" spans="1:14" x14ac:dyDescent="0.25">
      <c r="A9" s="2" t="str">
        <f t="shared" si="0"/>
        <v>E008</v>
      </c>
      <c r="B9" s="2" t="s">
        <v>59</v>
      </c>
      <c r="C9" s="2" t="str">
        <f t="shared" ca="1" si="1"/>
        <v>Mar</v>
      </c>
      <c r="D9" s="2" t="str">
        <f t="shared" ca="1" si="2"/>
        <v>East</v>
      </c>
      <c r="E9" s="2" t="str">
        <f t="shared" ca="1" si="3"/>
        <v>Tamil Nadu</v>
      </c>
      <c r="F9" s="2" t="str">
        <f t="shared" ca="1" si="4"/>
        <v>Customer Support</v>
      </c>
      <c r="G9" s="2" t="str">
        <f t="shared" ca="1" si="5"/>
        <v>Executive</v>
      </c>
      <c r="H9" s="2" t="str">
        <f t="shared" ca="1" si="6"/>
        <v>Electronics</v>
      </c>
      <c r="I9" s="2">
        <f t="shared" ca="1" si="7"/>
        <v>47</v>
      </c>
      <c r="J9" s="2">
        <f t="shared" ca="1" si="8"/>
        <v>29328</v>
      </c>
      <c r="K9" s="2">
        <f t="shared" ca="1" si="9"/>
        <v>293.27999999999997</v>
      </c>
      <c r="L9" s="2">
        <f t="shared" ca="1" si="10"/>
        <v>30320</v>
      </c>
      <c r="M9" s="2" t="str">
        <f t="shared" ca="1" si="11"/>
        <v>No</v>
      </c>
    </row>
    <row r="10" spans="1:14" x14ac:dyDescent="0.25">
      <c r="A10" s="2" t="str">
        <f t="shared" si="0"/>
        <v>E009</v>
      </c>
      <c r="B10" s="2" t="s">
        <v>60</v>
      </c>
      <c r="C10" s="2" t="str">
        <f t="shared" ca="1" si="1"/>
        <v>Jun</v>
      </c>
      <c r="D10" s="2" t="str">
        <f t="shared" ca="1" si="2"/>
        <v>East</v>
      </c>
      <c r="E10" s="2" t="str">
        <f t="shared" ca="1" si="3"/>
        <v>Tamil Nadu</v>
      </c>
      <c r="F10" s="2" t="str">
        <f t="shared" ca="1" si="4"/>
        <v>Finance</v>
      </c>
      <c r="G10" s="2" t="str">
        <f t="shared" ca="1" si="5"/>
        <v>Analyst</v>
      </c>
      <c r="H10" s="2" t="str">
        <f t="shared" ca="1" si="6"/>
        <v>Clothing</v>
      </c>
      <c r="I10" s="2">
        <f t="shared" ca="1" si="7"/>
        <v>79</v>
      </c>
      <c r="J10" s="2">
        <f t="shared" ca="1" si="8"/>
        <v>38631</v>
      </c>
      <c r="K10" s="2">
        <f t="shared" ca="1" si="9"/>
        <v>-1931.55</v>
      </c>
      <c r="L10" s="2">
        <f t="shared" ca="1" si="10"/>
        <v>48338</v>
      </c>
      <c r="M10" s="2" t="str">
        <f t="shared" ca="1" si="11"/>
        <v>No</v>
      </c>
    </row>
    <row r="11" spans="1:14" x14ac:dyDescent="0.25">
      <c r="A11" s="2" t="str">
        <f t="shared" si="0"/>
        <v>E010</v>
      </c>
      <c r="B11" s="2" t="s">
        <v>61</v>
      </c>
      <c r="C11" s="2" t="str">
        <f t="shared" ca="1" si="1"/>
        <v>Nov</v>
      </c>
      <c r="D11" s="2" t="str">
        <f t="shared" ca="1" si="2"/>
        <v>South</v>
      </c>
      <c r="E11" s="2" t="str">
        <f t="shared" ca="1" si="3"/>
        <v>Delhi</v>
      </c>
      <c r="F11" s="2" t="str">
        <f t="shared" ca="1" si="4"/>
        <v>Operations</v>
      </c>
      <c r="G11" s="2" t="str">
        <f t="shared" ca="1" si="5"/>
        <v>Supervisor</v>
      </c>
      <c r="H11" s="2" t="str">
        <f t="shared" ca="1" si="6"/>
        <v>Electronics</v>
      </c>
      <c r="I11" s="2">
        <f t="shared" ca="1" si="7"/>
        <v>56</v>
      </c>
      <c r="J11" s="2">
        <f t="shared" ca="1" si="8"/>
        <v>52416</v>
      </c>
      <c r="K11" s="2">
        <f t="shared" ca="1" si="9"/>
        <v>15724.8</v>
      </c>
      <c r="L11" s="2">
        <f t="shared" ca="1" si="10"/>
        <v>21840</v>
      </c>
      <c r="M11" s="2" t="str">
        <f t="shared" ca="1" si="11"/>
        <v>Yes</v>
      </c>
    </row>
    <row r="12" spans="1:14" x14ac:dyDescent="0.25">
      <c r="A12" s="2" t="str">
        <f t="shared" si="0"/>
        <v>E011</v>
      </c>
      <c r="B12" s="2" t="s">
        <v>62</v>
      </c>
      <c r="C12" s="2" t="str">
        <f t="shared" ca="1" si="1"/>
        <v>Aug</v>
      </c>
      <c r="D12" s="2" t="str">
        <f t="shared" ca="1" si="2"/>
        <v>West</v>
      </c>
      <c r="E12" s="2" t="str">
        <f t="shared" ca="1" si="3"/>
        <v>Punjab</v>
      </c>
      <c r="F12" s="2" t="str">
        <f t="shared" ca="1" si="4"/>
        <v>Finance</v>
      </c>
      <c r="G12" s="2" t="str">
        <f t="shared" ca="1" si="5"/>
        <v>Specialist</v>
      </c>
      <c r="H12" s="2" t="str">
        <f t="shared" ca="1" si="6"/>
        <v>Shoes</v>
      </c>
      <c r="I12" s="2">
        <f t="shared" ca="1" si="7"/>
        <v>58</v>
      </c>
      <c r="J12" s="2">
        <f t="shared" ca="1" si="8"/>
        <v>24070</v>
      </c>
      <c r="K12" s="2">
        <f t="shared" ca="1" si="9"/>
        <v>240.7</v>
      </c>
      <c r="L12" s="2">
        <f t="shared" ca="1" si="10"/>
        <v>21733</v>
      </c>
      <c r="M12" s="2" t="str">
        <f t="shared" ca="1" si="11"/>
        <v>Yes</v>
      </c>
    </row>
    <row r="13" spans="1:14" x14ac:dyDescent="0.25">
      <c r="A13" s="2" t="str">
        <f t="shared" si="0"/>
        <v>E012</v>
      </c>
      <c r="B13" s="2" t="s">
        <v>63</v>
      </c>
      <c r="C13" s="2" t="str">
        <f t="shared" ca="1" si="1"/>
        <v>Mar</v>
      </c>
      <c r="D13" s="2" t="str">
        <f t="shared" ca="1" si="2"/>
        <v>South</v>
      </c>
      <c r="E13" s="2" t="str">
        <f t="shared" ca="1" si="3"/>
        <v>Madhya Pradesh</v>
      </c>
      <c r="F13" s="2" t="str">
        <f t="shared" ca="1" si="4"/>
        <v>Sales</v>
      </c>
      <c r="G13" s="2" t="str">
        <f t="shared" ca="1" si="5"/>
        <v>Supervisor</v>
      </c>
      <c r="H13" s="2" t="str">
        <f t="shared" ca="1" si="6"/>
        <v>Shoes</v>
      </c>
      <c r="I13" s="2">
        <f t="shared" ca="1" si="7"/>
        <v>28</v>
      </c>
      <c r="J13" s="2">
        <f t="shared" ca="1" si="8"/>
        <v>16632</v>
      </c>
      <c r="K13" s="2">
        <f t="shared" ca="1" si="9"/>
        <v>1829.52</v>
      </c>
      <c r="L13" s="2">
        <f t="shared" ca="1" si="10"/>
        <v>42409</v>
      </c>
      <c r="M13" s="2" t="str">
        <f t="shared" ca="1" si="11"/>
        <v>No</v>
      </c>
    </row>
    <row r="14" spans="1:14" x14ac:dyDescent="0.25">
      <c r="A14" s="2" t="str">
        <f t="shared" si="0"/>
        <v>E013</v>
      </c>
      <c r="B14" s="2" t="s">
        <v>64</v>
      </c>
      <c r="C14" s="2" t="str">
        <f t="shared" ca="1" si="1"/>
        <v>Aug</v>
      </c>
      <c r="D14" s="2" t="str">
        <f t="shared" ca="1" si="2"/>
        <v>North</v>
      </c>
      <c r="E14" s="2" t="str">
        <f t="shared" ca="1" si="3"/>
        <v>Delhi</v>
      </c>
      <c r="F14" s="2" t="str">
        <f t="shared" ca="1" si="4"/>
        <v>Finance</v>
      </c>
      <c r="G14" s="2" t="str">
        <f t="shared" ca="1" si="5"/>
        <v>Executive</v>
      </c>
      <c r="H14" s="2" t="str">
        <f t="shared" ca="1" si="6"/>
        <v>Books</v>
      </c>
      <c r="I14" s="2">
        <f t="shared" ca="1" si="7"/>
        <v>97</v>
      </c>
      <c r="J14" s="2">
        <f t="shared" ca="1" si="8"/>
        <v>75563</v>
      </c>
      <c r="K14" s="2">
        <f t="shared" ca="1" si="9"/>
        <v>0</v>
      </c>
      <c r="L14" s="2">
        <f t="shared" ca="1" si="10"/>
        <v>21441</v>
      </c>
      <c r="M14" s="2" t="str">
        <f t="shared" ca="1" si="11"/>
        <v>Yes</v>
      </c>
    </row>
    <row r="15" spans="1:14" x14ac:dyDescent="0.25">
      <c r="A15" s="2" t="str">
        <f t="shared" si="0"/>
        <v>E014</v>
      </c>
      <c r="B15" s="2" t="s">
        <v>65</v>
      </c>
      <c r="C15" s="2" t="str">
        <f t="shared" ca="1" si="1"/>
        <v>Jul</v>
      </c>
      <c r="D15" s="2" t="str">
        <f t="shared" ca="1" si="2"/>
        <v>South</v>
      </c>
      <c r="E15" s="2" t="str">
        <f t="shared" ca="1" si="3"/>
        <v>Gujarat</v>
      </c>
      <c r="F15" s="2" t="str">
        <f t="shared" ca="1" si="4"/>
        <v>Marketing</v>
      </c>
      <c r="G15" s="2" t="str">
        <f t="shared" ca="1" si="5"/>
        <v>Supervisor</v>
      </c>
      <c r="H15" s="2" t="str">
        <f t="shared" ca="1" si="6"/>
        <v>Shoes</v>
      </c>
      <c r="I15" s="2">
        <f t="shared" ca="1" si="7"/>
        <v>67</v>
      </c>
      <c r="J15" s="2">
        <f t="shared" ca="1" si="8"/>
        <v>30619</v>
      </c>
      <c r="K15" s="2">
        <f t="shared" ca="1" si="9"/>
        <v>-1224.76</v>
      </c>
      <c r="L15" s="2">
        <f t="shared" ca="1" si="10"/>
        <v>46346</v>
      </c>
      <c r="M15" s="2" t="str">
        <f t="shared" ca="1" si="11"/>
        <v>No</v>
      </c>
    </row>
    <row r="16" spans="1:14" x14ac:dyDescent="0.25">
      <c r="A16" s="2" t="str">
        <f t="shared" si="0"/>
        <v>E015</v>
      </c>
      <c r="B16" s="2" t="s">
        <v>66</v>
      </c>
      <c r="C16" s="2" t="str">
        <f t="shared" ca="1" si="1"/>
        <v>Jul</v>
      </c>
      <c r="D16" s="2" t="str">
        <f t="shared" ca="1" si="2"/>
        <v>East</v>
      </c>
      <c r="E16" s="2" t="str">
        <f t="shared" ca="1" si="3"/>
        <v>Tamil Nadu</v>
      </c>
      <c r="F16" s="2" t="str">
        <f t="shared" ca="1" si="4"/>
        <v>Marketing</v>
      </c>
      <c r="G16" s="2" t="str">
        <f t="shared" ca="1" si="5"/>
        <v>Supervisor</v>
      </c>
      <c r="H16" s="2" t="str">
        <f t="shared" ca="1" si="6"/>
        <v>Books</v>
      </c>
      <c r="I16" s="2">
        <f t="shared" ca="1" si="7"/>
        <v>32</v>
      </c>
      <c r="J16" s="2">
        <f t="shared" ca="1" si="8"/>
        <v>22944</v>
      </c>
      <c r="K16" s="2">
        <f t="shared" ca="1" si="9"/>
        <v>2523.84</v>
      </c>
      <c r="L16" s="2">
        <f t="shared" ca="1" si="10"/>
        <v>48627</v>
      </c>
      <c r="M16" s="2" t="str">
        <f t="shared" ca="1" si="11"/>
        <v>No</v>
      </c>
    </row>
    <row r="17" spans="1:13" x14ac:dyDescent="0.25">
      <c r="A17" s="2" t="str">
        <f t="shared" si="0"/>
        <v>E016</v>
      </c>
      <c r="B17" s="2" t="s">
        <v>49</v>
      </c>
      <c r="C17" s="2" t="str">
        <f t="shared" ca="1" si="1"/>
        <v>May</v>
      </c>
      <c r="D17" s="2" t="str">
        <f t="shared" ca="1" si="2"/>
        <v>West</v>
      </c>
      <c r="E17" s="2" t="str">
        <f t="shared" ca="1" si="3"/>
        <v>Tamil Nadu</v>
      </c>
      <c r="F17" s="2" t="str">
        <f t="shared" ca="1" si="4"/>
        <v>Sales</v>
      </c>
      <c r="G17" s="2" t="str">
        <f t="shared" ca="1" si="5"/>
        <v>Analyst</v>
      </c>
      <c r="H17" s="2" t="str">
        <f t="shared" ca="1" si="6"/>
        <v>Shoes</v>
      </c>
      <c r="I17" s="2">
        <f t="shared" ca="1" si="7"/>
        <v>76</v>
      </c>
      <c r="J17" s="2">
        <f t="shared" ca="1" si="8"/>
        <v>33516</v>
      </c>
      <c r="K17" s="2">
        <f t="shared" ca="1" si="9"/>
        <v>4692.24</v>
      </c>
      <c r="L17" s="2">
        <f t="shared" ca="1" si="10"/>
        <v>27346</v>
      </c>
      <c r="M17" s="2" t="str">
        <f t="shared" ca="1" si="11"/>
        <v>Yes</v>
      </c>
    </row>
    <row r="18" spans="1:13" x14ac:dyDescent="0.25">
      <c r="A18" s="2" t="str">
        <f t="shared" si="0"/>
        <v>E017</v>
      </c>
      <c r="B18" s="2" t="s">
        <v>67</v>
      </c>
      <c r="C18" s="2" t="str">
        <f t="shared" ca="1" si="1"/>
        <v>Aug</v>
      </c>
      <c r="D18" s="2" t="str">
        <f t="shared" ca="1" si="2"/>
        <v>West</v>
      </c>
      <c r="E18" s="2" t="str">
        <f t="shared" ca="1" si="3"/>
        <v>Punjab</v>
      </c>
      <c r="F18" s="2" t="str">
        <f t="shared" ca="1" si="4"/>
        <v>Operations</v>
      </c>
      <c r="G18" s="2" t="str">
        <f t="shared" ca="1" si="5"/>
        <v>Executive</v>
      </c>
      <c r="H18" s="2" t="str">
        <f t="shared" ca="1" si="6"/>
        <v>Electronics</v>
      </c>
      <c r="I18" s="2">
        <f t="shared" ca="1" si="7"/>
        <v>62</v>
      </c>
      <c r="J18" s="2">
        <f t="shared" ca="1" si="8"/>
        <v>54374</v>
      </c>
      <c r="K18" s="2">
        <f t="shared" ca="1" si="9"/>
        <v>4349.92</v>
      </c>
      <c r="L18" s="2">
        <f t="shared" ca="1" si="10"/>
        <v>32758</v>
      </c>
      <c r="M18" s="2" t="str">
        <f t="shared" ca="1" si="11"/>
        <v>Yes</v>
      </c>
    </row>
    <row r="19" spans="1:13" x14ac:dyDescent="0.25">
      <c r="A19" s="2" t="str">
        <f t="shared" si="0"/>
        <v>E018</v>
      </c>
      <c r="B19" s="2" t="s">
        <v>68</v>
      </c>
      <c r="C19" s="2" t="str">
        <f t="shared" ca="1" si="1"/>
        <v>Apr</v>
      </c>
      <c r="D19" s="2" t="str">
        <f t="shared" ca="1" si="2"/>
        <v>North</v>
      </c>
      <c r="E19" s="2" t="str">
        <f t="shared" ca="1" si="3"/>
        <v>Punjab</v>
      </c>
      <c r="F19" s="2" t="str">
        <f t="shared" ca="1" si="4"/>
        <v>Finance</v>
      </c>
      <c r="G19" s="2" t="str">
        <f t="shared" ca="1" si="5"/>
        <v>Specialist</v>
      </c>
      <c r="H19" s="2" t="str">
        <f t="shared" ca="1" si="6"/>
        <v>Books</v>
      </c>
      <c r="I19" s="2">
        <f t="shared" ca="1" si="7"/>
        <v>31</v>
      </c>
      <c r="J19" s="2">
        <f t="shared" ca="1" si="8"/>
        <v>6479</v>
      </c>
      <c r="K19" s="2">
        <f t="shared" ca="1" si="9"/>
        <v>1878.91</v>
      </c>
      <c r="L19" s="2">
        <f t="shared" ca="1" si="10"/>
        <v>31241</v>
      </c>
      <c r="M19" s="2" t="str">
        <f t="shared" ca="1" si="11"/>
        <v>No</v>
      </c>
    </row>
    <row r="20" spans="1:13" x14ac:dyDescent="0.25">
      <c r="A20" s="2" t="str">
        <f t="shared" si="0"/>
        <v>E019</v>
      </c>
      <c r="B20" s="2" t="s">
        <v>3</v>
      </c>
      <c r="C20" s="2" t="str">
        <f t="shared" ca="1" si="1"/>
        <v>Jan</v>
      </c>
      <c r="D20" s="2" t="str">
        <f t="shared" ca="1" si="2"/>
        <v>West</v>
      </c>
      <c r="E20" s="2" t="str">
        <f t="shared" ca="1" si="3"/>
        <v>Gujarat</v>
      </c>
      <c r="F20" s="2" t="str">
        <f t="shared" ca="1" si="4"/>
        <v>Marketing</v>
      </c>
      <c r="G20" s="2" t="str">
        <f t="shared" ca="1" si="5"/>
        <v>Specialist</v>
      </c>
      <c r="H20" s="2" t="str">
        <f t="shared" ca="1" si="6"/>
        <v>Books</v>
      </c>
      <c r="I20" s="2">
        <f t="shared" ca="1" si="7"/>
        <v>56</v>
      </c>
      <c r="J20" s="2">
        <f t="shared" ca="1" si="8"/>
        <v>44352</v>
      </c>
      <c r="K20" s="2">
        <f t="shared" ca="1" si="9"/>
        <v>887.04</v>
      </c>
      <c r="L20" s="2">
        <f t="shared" ca="1" si="10"/>
        <v>37172</v>
      </c>
      <c r="M20" s="2" t="str">
        <f t="shared" ca="1" si="11"/>
        <v>Yes</v>
      </c>
    </row>
    <row r="21" spans="1:13" x14ac:dyDescent="0.25">
      <c r="A21" s="2" t="str">
        <f t="shared" si="0"/>
        <v>E020</v>
      </c>
      <c r="B21" s="2" t="s">
        <v>69</v>
      </c>
      <c r="C21" s="2" t="str">
        <f t="shared" ca="1" si="1"/>
        <v>Dec</v>
      </c>
      <c r="D21" s="2" t="str">
        <f t="shared" ca="1" si="2"/>
        <v>North</v>
      </c>
      <c r="E21" s="2" t="str">
        <f t="shared" ca="1" si="3"/>
        <v>Tamil Nadu</v>
      </c>
      <c r="F21" s="2" t="str">
        <f t="shared" ca="1" si="4"/>
        <v>Marketing</v>
      </c>
      <c r="G21" s="2" t="str">
        <f t="shared" ca="1" si="5"/>
        <v>Executive</v>
      </c>
      <c r="H21" s="2" t="str">
        <f t="shared" ca="1" si="6"/>
        <v>Electronics</v>
      </c>
      <c r="I21" s="2">
        <f t="shared" ca="1" si="7"/>
        <v>76</v>
      </c>
      <c r="J21" s="2">
        <f t="shared" ca="1" si="8"/>
        <v>68400</v>
      </c>
      <c r="K21" s="2">
        <f t="shared" ca="1" si="9"/>
        <v>684</v>
      </c>
      <c r="L21" s="2">
        <f t="shared" ca="1" si="10"/>
        <v>44228</v>
      </c>
      <c r="M21" s="2" t="str">
        <f t="shared" ca="1" si="11"/>
        <v>Yes</v>
      </c>
    </row>
    <row r="22" spans="1:13" x14ac:dyDescent="0.25">
      <c r="A22" s="2" t="str">
        <f t="shared" si="0"/>
        <v>E021</v>
      </c>
      <c r="B22" s="2" t="s">
        <v>70</v>
      </c>
      <c r="C22" s="2" t="str">
        <f t="shared" ca="1" si="1"/>
        <v>Mar</v>
      </c>
      <c r="D22" s="2" t="str">
        <f t="shared" ca="1" si="2"/>
        <v>South</v>
      </c>
      <c r="E22" s="2" t="str">
        <f t="shared" ca="1" si="3"/>
        <v>Punjab</v>
      </c>
      <c r="F22" s="2" t="str">
        <f t="shared" ca="1" si="4"/>
        <v>Operations</v>
      </c>
      <c r="G22" s="2" t="str">
        <f t="shared" ca="1" si="5"/>
        <v>Executive</v>
      </c>
      <c r="H22" s="2" t="str">
        <f t="shared" ca="1" si="6"/>
        <v>Electronics</v>
      </c>
      <c r="I22" s="2">
        <f t="shared" ca="1" si="7"/>
        <v>92</v>
      </c>
      <c r="J22" s="2">
        <f t="shared" ca="1" si="8"/>
        <v>55108</v>
      </c>
      <c r="K22" s="2">
        <f t="shared" ca="1" si="9"/>
        <v>9368.36</v>
      </c>
      <c r="L22" s="2">
        <f t="shared" ca="1" si="10"/>
        <v>33995</v>
      </c>
      <c r="M22" s="2" t="str">
        <f t="shared" ca="1" si="11"/>
        <v>Yes</v>
      </c>
    </row>
    <row r="23" spans="1:13" x14ac:dyDescent="0.25">
      <c r="A23" s="2" t="str">
        <f t="shared" si="0"/>
        <v>E022</v>
      </c>
      <c r="B23" s="2" t="s">
        <v>36</v>
      </c>
      <c r="C23" s="2" t="str">
        <f t="shared" ca="1" si="1"/>
        <v>May</v>
      </c>
      <c r="D23" s="2" t="str">
        <f t="shared" ca="1" si="2"/>
        <v>North</v>
      </c>
      <c r="E23" s="2" t="str">
        <f t="shared" ca="1" si="3"/>
        <v>Tamil Nadu</v>
      </c>
      <c r="F23" s="2" t="str">
        <f t="shared" ca="1" si="4"/>
        <v>HR</v>
      </c>
      <c r="G23" s="2" t="str">
        <f t="shared" ca="1" si="5"/>
        <v>Executive</v>
      </c>
      <c r="H23" s="2" t="str">
        <f t="shared" ca="1" si="6"/>
        <v>Clothing</v>
      </c>
      <c r="I23" s="2">
        <f t="shared" ca="1" si="7"/>
        <v>85</v>
      </c>
      <c r="J23" s="2">
        <f t="shared" ca="1" si="8"/>
        <v>27455</v>
      </c>
      <c r="K23" s="2">
        <f t="shared" ca="1" si="9"/>
        <v>-1647.3</v>
      </c>
      <c r="L23" s="2">
        <f t="shared" ca="1" si="10"/>
        <v>32744</v>
      </c>
      <c r="M23" s="2" t="str">
        <f t="shared" ca="1" si="11"/>
        <v>No</v>
      </c>
    </row>
    <row r="24" spans="1:13" x14ac:dyDescent="0.25">
      <c r="A24" s="2" t="str">
        <f t="shared" si="0"/>
        <v>E023</v>
      </c>
      <c r="B24" s="2" t="s">
        <v>19</v>
      </c>
      <c r="C24" s="2" t="str">
        <f t="shared" ca="1" si="1"/>
        <v>Jul</v>
      </c>
      <c r="D24" s="2" t="str">
        <f t="shared" ca="1" si="2"/>
        <v>North</v>
      </c>
      <c r="E24" s="2" t="str">
        <f t="shared" ca="1" si="3"/>
        <v>Delhi</v>
      </c>
      <c r="F24" s="2" t="str">
        <f t="shared" ca="1" si="4"/>
        <v>HR</v>
      </c>
      <c r="G24" s="2" t="str">
        <f t="shared" ca="1" si="5"/>
        <v>Supervisor</v>
      </c>
      <c r="H24" s="2" t="str">
        <f t="shared" ca="1" si="6"/>
        <v>Electronics</v>
      </c>
      <c r="I24" s="2">
        <f t="shared" ca="1" si="7"/>
        <v>69</v>
      </c>
      <c r="J24" s="2">
        <f t="shared" ca="1" si="8"/>
        <v>61479</v>
      </c>
      <c r="K24" s="2">
        <f t="shared" ca="1" si="9"/>
        <v>16599.330000000002</v>
      </c>
      <c r="L24" s="2">
        <f t="shared" ca="1" si="10"/>
        <v>29010</v>
      </c>
      <c r="M24" s="2" t="str">
        <f t="shared" ca="1" si="11"/>
        <v>Yes</v>
      </c>
    </row>
    <row r="25" spans="1:13" x14ac:dyDescent="0.25">
      <c r="A25" s="2" t="str">
        <f t="shared" si="0"/>
        <v>E024</v>
      </c>
      <c r="B25" s="2" t="s">
        <v>71</v>
      </c>
      <c r="C25" s="2" t="str">
        <f t="shared" ca="1" si="1"/>
        <v>Mar</v>
      </c>
      <c r="D25" s="2" t="str">
        <f t="shared" ca="1" si="2"/>
        <v>North</v>
      </c>
      <c r="E25" s="2" t="str">
        <f t="shared" ca="1" si="3"/>
        <v>Delhi</v>
      </c>
      <c r="F25" s="2" t="str">
        <f t="shared" ca="1" si="4"/>
        <v>Sales</v>
      </c>
      <c r="G25" s="2" t="str">
        <f t="shared" ca="1" si="5"/>
        <v>Supervisor</v>
      </c>
      <c r="H25" s="2" t="str">
        <f t="shared" ca="1" si="6"/>
        <v>Books</v>
      </c>
      <c r="I25" s="2">
        <f t="shared" ca="1" si="7"/>
        <v>91</v>
      </c>
      <c r="J25" s="2">
        <f t="shared" ca="1" si="8"/>
        <v>35126</v>
      </c>
      <c r="K25" s="2">
        <f t="shared" ca="1" si="9"/>
        <v>5268.9</v>
      </c>
      <c r="L25" s="2">
        <f t="shared" ca="1" si="10"/>
        <v>36148</v>
      </c>
      <c r="M25" s="2" t="str">
        <f t="shared" ca="1" si="11"/>
        <v>No</v>
      </c>
    </row>
    <row r="26" spans="1:13" x14ac:dyDescent="0.25">
      <c r="A26" s="2" t="str">
        <f t="shared" si="0"/>
        <v>E025</v>
      </c>
      <c r="B26" s="2" t="s">
        <v>72</v>
      </c>
      <c r="C26" s="2" t="str">
        <f t="shared" ca="1" si="1"/>
        <v>Jun</v>
      </c>
      <c r="D26" s="2" t="str">
        <f t="shared" ca="1" si="2"/>
        <v>North</v>
      </c>
      <c r="E26" s="2" t="str">
        <f t="shared" ca="1" si="3"/>
        <v>Punjab</v>
      </c>
      <c r="F26" s="2" t="str">
        <f t="shared" ca="1" si="4"/>
        <v>Marketing</v>
      </c>
      <c r="G26" s="2" t="str">
        <f t="shared" ca="1" si="5"/>
        <v>Specialist</v>
      </c>
      <c r="H26" s="2" t="str">
        <f t="shared" ca="1" si="6"/>
        <v>Shoes</v>
      </c>
      <c r="I26" s="2">
        <f t="shared" ca="1" si="7"/>
        <v>18</v>
      </c>
      <c r="J26" s="2">
        <f t="shared" ca="1" si="8"/>
        <v>4716</v>
      </c>
      <c r="K26" s="2">
        <f t="shared" ca="1" si="9"/>
        <v>-330.12</v>
      </c>
      <c r="L26" s="2">
        <f t="shared" ca="1" si="10"/>
        <v>21344</v>
      </c>
      <c r="M26" s="2" t="str">
        <f t="shared" ca="1" si="11"/>
        <v>No</v>
      </c>
    </row>
    <row r="27" spans="1:13" x14ac:dyDescent="0.25">
      <c r="A27" s="2" t="str">
        <f t="shared" si="0"/>
        <v>E026</v>
      </c>
      <c r="B27" s="2" t="s">
        <v>73</v>
      </c>
      <c r="C27" s="2" t="str">
        <f t="shared" ca="1" si="1"/>
        <v>Sep</v>
      </c>
      <c r="D27" s="2" t="str">
        <f t="shared" ca="1" si="2"/>
        <v>East</v>
      </c>
      <c r="E27" s="2" t="str">
        <f t="shared" ca="1" si="3"/>
        <v>Gujarat</v>
      </c>
      <c r="F27" s="2" t="str">
        <f t="shared" ca="1" si="4"/>
        <v>Finance</v>
      </c>
      <c r="G27" s="2" t="str">
        <f t="shared" ca="1" si="5"/>
        <v>Specialist</v>
      </c>
      <c r="H27" s="2" t="str">
        <f t="shared" ca="1" si="6"/>
        <v>Clothing</v>
      </c>
      <c r="I27" s="2">
        <f t="shared" ca="1" si="7"/>
        <v>57</v>
      </c>
      <c r="J27" s="2">
        <f t="shared" ca="1" si="8"/>
        <v>13452</v>
      </c>
      <c r="K27" s="2">
        <f t="shared" ca="1" si="9"/>
        <v>2555.88</v>
      </c>
      <c r="L27" s="2">
        <f t="shared" ca="1" si="10"/>
        <v>38636</v>
      </c>
      <c r="M27" s="2" t="str">
        <f t="shared" ca="1" si="11"/>
        <v>No</v>
      </c>
    </row>
    <row r="28" spans="1:13" x14ac:dyDescent="0.25">
      <c r="A28" s="2" t="str">
        <f t="shared" si="0"/>
        <v>E027</v>
      </c>
      <c r="B28" s="2" t="s">
        <v>74</v>
      </c>
      <c r="C28" s="2" t="str">
        <f t="shared" ca="1" si="1"/>
        <v>Aug</v>
      </c>
      <c r="D28" s="2" t="str">
        <f t="shared" ca="1" si="2"/>
        <v>West</v>
      </c>
      <c r="E28" s="2" t="str">
        <f t="shared" ca="1" si="3"/>
        <v>Punjab</v>
      </c>
      <c r="F28" s="2" t="str">
        <f t="shared" ca="1" si="4"/>
        <v>Customer Support</v>
      </c>
      <c r="G28" s="2" t="str">
        <f t="shared" ca="1" si="5"/>
        <v>Analyst</v>
      </c>
      <c r="H28" s="2" t="str">
        <f t="shared" ca="1" si="6"/>
        <v>Electronics</v>
      </c>
      <c r="I28" s="2">
        <f t="shared" ca="1" si="7"/>
        <v>14</v>
      </c>
      <c r="J28" s="2">
        <f t="shared" ca="1" si="8"/>
        <v>3640</v>
      </c>
      <c r="K28" s="2">
        <f t="shared" ca="1" si="9"/>
        <v>145.6</v>
      </c>
      <c r="L28" s="2">
        <f t="shared" ca="1" si="10"/>
        <v>16142</v>
      </c>
      <c r="M28" s="2" t="str">
        <f t="shared" ca="1" si="11"/>
        <v>No</v>
      </c>
    </row>
    <row r="29" spans="1:13" x14ac:dyDescent="0.25">
      <c r="A29" s="2" t="str">
        <f t="shared" si="0"/>
        <v>E028</v>
      </c>
      <c r="B29" s="2" t="s">
        <v>75</v>
      </c>
      <c r="C29" s="2" t="str">
        <f t="shared" ca="1" si="1"/>
        <v>Apr</v>
      </c>
      <c r="D29" s="2" t="str">
        <f t="shared" ca="1" si="2"/>
        <v>West</v>
      </c>
      <c r="E29" s="2" t="str">
        <f t="shared" ca="1" si="3"/>
        <v>Punjab</v>
      </c>
      <c r="F29" s="2" t="str">
        <f t="shared" ca="1" si="4"/>
        <v>Finance</v>
      </c>
      <c r="G29" s="2" t="str">
        <f t="shared" ca="1" si="5"/>
        <v>Specialist</v>
      </c>
      <c r="H29" s="2" t="str">
        <f t="shared" ca="1" si="6"/>
        <v>Clothing</v>
      </c>
      <c r="I29" s="2">
        <f t="shared" ca="1" si="7"/>
        <v>69</v>
      </c>
      <c r="J29" s="2">
        <f t="shared" ca="1" si="8"/>
        <v>51612</v>
      </c>
      <c r="K29" s="2">
        <f t="shared" ca="1" si="9"/>
        <v>5677.32</v>
      </c>
      <c r="L29" s="2">
        <f t="shared" ca="1" si="10"/>
        <v>38054</v>
      </c>
      <c r="M29" s="2" t="str">
        <f t="shared" ca="1" si="11"/>
        <v>Yes</v>
      </c>
    </row>
    <row r="30" spans="1:13" x14ac:dyDescent="0.25">
      <c r="A30" s="2" t="str">
        <f t="shared" si="0"/>
        <v>E029</v>
      </c>
      <c r="B30" s="2" t="s">
        <v>76</v>
      </c>
      <c r="C30" s="2" t="str">
        <f t="shared" ca="1" si="1"/>
        <v>Jul</v>
      </c>
      <c r="D30" s="2" t="str">
        <f t="shared" ca="1" si="2"/>
        <v>South</v>
      </c>
      <c r="E30" s="2" t="str">
        <f t="shared" ca="1" si="3"/>
        <v>Punjab</v>
      </c>
      <c r="F30" s="2" t="str">
        <f t="shared" ca="1" si="4"/>
        <v>Finance</v>
      </c>
      <c r="G30" s="2" t="str">
        <f t="shared" ca="1" si="5"/>
        <v>Supervisor</v>
      </c>
      <c r="H30" s="2" t="str">
        <f t="shared" ca="1" si="6"/>
        <v>Books</v>
      </c>
      <c r="I30" s="2">
        <f t="shared" ca="1" si="7"/>
        <v>22</v>
      </c>
      <c r="J30" s="2">
        <f t="shared" ca="1" si="8"/>
        <v>20152</v>
      </c>
      <c r="K30" s="2">
        <f t="shared" ca="1" si="9"/>
        <v>5038</v>
      </c>
      <c r="L30" s="2">
        <f t="shared" ca="1" si="10"/>
        <v>15344</v>
      </c>
      <c r="M30" s="2" t="str">
        <f t="shared" ca="1" si="11"/>
        <v>Yes</v>
      </c>
    </row>
    <row r="31" spans="1:13" x14ac:dyDescent="0.25">
      <c r="A31" s="2" t="str">
        <f t="shared" si="0"/>
        <v>E030</v>
      </c>
      <c r="B31" s="2" t="s">
        <v>77</v>
      </c>
      <c r="C31" s="2" t="str">
        <f t="shared" ca="1" si="1"/>
        <v>Feb</v>
      </c>
      <c r="D31" s="2" t="str">
        <f t="shared" ca="1" si="2"/>
        <v>East</v>
      </c>
      <c r="E31" s="2" t="str">
        <f t="shared" ca="1" si="3"/>
        <v>Madhya Pradesh</v>
      </c>
      <c r="F31" s="2" t="str">
        <f t="shared" ca="1" si="4"/>
        <v>Finance</v>
      </c>
      <c r="G31" s="2" t="str">
        <f t="shared" ca="1" si="5"/>
        <v>Executive</v>
      </c>
      <c r="H31" s="2" t="str">
        <f t="shared" ca="1" si="6"/>
        <v>Electronics</v>
      </c>
      <c r="I31" s="2">
        <f t="shared" ca="1" si="7"/>
        <v>70</v>
      </c>
      <c r="J31" s="2">
        <f t="shared" ca="1" si="8"/>
        <v>27090</v>
      </c>
      <c r="K31" s="2">
        <f t="shared" ca="1" si="9"/>
        <v>3250.8</v>
      </c>
      <c r="L31" s="2">
        <f t="shared" ca="1" si="10"/>
        <v>35860</v>
      </c>
      <c r="M31" s="2" t="str">
        <f t="shared" ca="1" si="11"/>
        <v>No</v>
      </c>
    </row>
    <row r="32" spans="1:13" x14ac:dyDescent="0.25">
      <c r="A32" s="2" t="str">
        <f t="shared" si="0"/>
        <v>E031</v>
      </c>
      <c r="B32" s="2" t="s">
        <v>78</v>
      </c>
      <c r="C32" s="2" t="str">
        <f t="shared" ca="1" si="1"/>
        <v>Mar</v>
      </c>
      <c r="D32" s="2" t="str">
        <f t="shared" ca="1" si="2"/>
        <v>South</v>
      </c>
      <c r="E32" s="2" t="str">
        <f t="shared" ca="1" si="3"/>
        <v>Tamil Nadu</v>
      </c>
      <c r="F32" s="2" t="str">
        <f t="shared" ca="1" si="4"/>
        <v>HR</v>
      </c>
      <c r="G32" s="2" t="str">
        <f t="shared" ca="1" si="5"/>
        <v>Analyst</v>
      </c>
      <c r="H32" s="2" t="str">
        <f t="shared" ca="1" si="6"/>
        <v>Clothing</v>
      </c>
      <c r="I32" s="2">
        <f t="shared" ca="1" si="7"/>
        <v>77</v>
      </c>
      <c r="J32" s="2">
        <f t="shared" ca="1" si="8"/>
        <v>64680</v>
      </c>
      <c r="K32" s="2">
        <f t="shared" ca="1" si="9"/>
        <v>-1293.5999999999999</v>
      </c>
      <c r="L32" s="2">
        <f t="shared" ca="1" si="10"/>
        <v>26483</v>
      </c>
      <c r="M32" s="2" t="str">
        <f t="shared" ca="1" si="11"/>
        <v>Yes</v>
      </c>
    </row>
    <row r="33" spans="1:13" x14ac:dyDescent="0.25">
      <c r="A33" s="2" t="str">
        <f t="shared" si="0"/>
        <v>E032</v>
      </c>
      <c r="B33" s="2" t="s">
        <v>8</v>
      </c>
      <c r="C33" s="2" t="str">
        <f t="shared" ca="1" si="1"/>
        <v>Aug</v>
      </c>
      <c r="D33" s="2" t="str">
        <f t="shared" ca="1" si="2"/>
        <v>South</v>
      </c>
      <c r="E33" s="2" t="str">
        <f t="shared" ca="1" si="3"/>
        <v>Delhi</v>
      </c>
      <c r="F33" s="2" t="str">
        <f t="shared" ca="1" si="4"/>
        <v>HR</v>
      </c>
      <c r="G33" s="2" t="str">
        <f t="shared" ca="1" si="5"/>
        <v>Analyst</v>
      </c>
      <c r="H33" s="2" t="str">
        <f t="shared" ca="1" si="6"/>
        <v>Clothing</v>
      </c>
      <c r="I33" s="2">
        <f t="shared" ca="1" si="7"/>
        <v>59</v>
      </c>
      <c r="J33" s="2">
        <f t="shared" ca="1" si="8"/>
        <v>33099</v>
      </c>
      <c r="K33" s="2">
        <f t="shared" ca="1" si="9"/>
        <v>3640.89</v>
      </c>
      <c r="L33" s="2">
        <f t="shared" ca="1" si="10"/>
        <v>37789</v>
      </c>
      <c r="M33" s="2" t="str">
        <f t="shared" ca="1" si="11"/>
        <v>No</v>
      </c>
    </row>
    <row r="34" spans="1:13" x14ac:dyDescent="0.25">
      <c r="A34" s="2" t="str">
        <f t="shared" si="0"/>
        <v>E033</v>
      </c>
      <c r="B34" s="2" t="s">
        <v>79</v>
      </c>
      <c r="C34" s="2" t="str">
        <f t="shared" ca="1" si="1"/>
        <v>Mar</v>
      </c>
      <c r="D34" s="2" t="str">
        <f t="shared" ca="1" si="2"/>
        <v>South</v>
      </c>
      <c r="E34" s="2" t="str">
        <f t="shared" ca="1" si="3"/>
        <v>Madhya Pradesh</v>
      </c>
      <c r="F34" s="2" t="str">
        <f t="shared" ca="1" si="4"/>
        <v>Sales</v>
      </c>
      <c r="G34" s="2" t="str">
        <f t="shared" ca="1" si="5"/>
        <v>Specialist</v>
      </c>
      <c r="H34" s="2" t="str">
        <f t="shared" ca="1" si="6"/>
        <v>Shoes</v>
      </c>
      <c r="I34" s="2">
        <f t="shared" ca="1" si="7"/>
        <v>39</v>
      </c>
      <c r="J34" s="2">
        <f t="shared" ca="1" si="8"/>
        <v>21918</v>
      </c>
      <c r="K34" s="2">
        <f t="shared" ca="1" si="9"/>
        <v>3068.52</v>
      </c>
      <c r="L34" s="2">
        <f t="shared" ca="1" si="10"/>
        <v>15417</v>
      </c>
      <c r="M34" s="2" t="str">
        <f t="shared" ca="1" si="11"/>
        <v>Yes</v>
      </c>
    </row>
    <row r="35" spans="1:13" x14ac:dyDescent="0.25">
      <c r="A35" s="2" t="str">
        <f t="shared" si="0"/>
        <v>E034</v>
      </c>
      <c r="B35" s="2" t="s">
        <v>80</v>
      </c>
      <c r="C35" s="2" t="str">
        <f t="shared" ca="1" si="1"/>
        <v>Feb</v>
      </c>
      <c r="D35" s="2" t="str">
        <f t="shared" ca="1" si="2"/>
        <v>West</v>
      </c>
      <c r="E35" s="2" t="str">
        <f t="shared" ca="1" si="3"/>
        <v>Gujarat</v>
      </c>
      <c r="F35" s="2" t="str">
        <f t="shared" ca="1" si="4"/>
        <v>Customer Support</v>
      </c>
      <c r="G35" s="2" t="str">
        <f t="shared" ca="1" si="5"/>
        <v>Supervisor</v>
      </c>
      <c r="H35" s="2" t="str">
        <f t="shared" ca="1" si="6"/>
        <v>Electronics</v>
      </c>
      <c r="I35" s="2">
        <f t="shared" ca="1" si="7"/>
        <v>49</v>
      </c>
      <c r="J35" s="2">
        <f t="shared" ca="1" si="8"/>
        <v>18228</v>
      </c>
      <c r="K35" s="2">
        <f t="shared" ca="1" si="9"/>
        <v>2369.64</v>
      </c>
      <c r="L35" s="2">
        <f t="shared" ca="1" si="10"/>
        <v>45331</v>
      </c>
      <c r="M35" s="2" t="str">
        <f t="shared" ca="1" si="11"/>
        <v>No</v>
      </c>
    </row>
    <row r="36" spans="1:13" x14ac:dyDescent="0.25">
      <c r="A36" s="2" t="str">
        <f t="shared" si="0"/>
        <v>E035</v>
      </c>
      <c r="B36" s="2" t="s">
        <v>81</v>
      </c>
      <c r="C36" s="2" t="str">
        <f t="shared" ca="1" si="1"/>
        <v>Jul</v>
      </c>
      <c r="D36" s="2" t="str">
        <f t="shared" ca="1" si="2"/>
        <v>East</v>
      </c>
      <c r="E36" s="2" t="str">
        <f t="shared" ca="1" si="3"/>
        <v>Gujarat</v>
      </c>
      <c r="F36" s="2" t="str">
        <f t="shared" ca="1" si="4"/>
        <v>Operations</v>
      </c>
      <c r="G36" s="2" t="str">
        <f t="shared" ca="1" si="5"/>
        <v>Supervisor</v>
      </c>
      <c r="H36" s="2" t="str">
        <f t="shared" ca="1" si="6"/>
        <v>Books</v>
      </c>
      <c r="I36" s="2">
        <f t="shared" ca="1" si="7"/>
        <v>18</v>
      </c>
      <c r="J36" s="2">
        <f t="shared" ca="1" si="8"/>
        <v>16506</v>
      </c>
      <c r="K36" s="2">
        <f t="shared" ca="1" si="9"/>
        <v>4291.5600000000004</v>
      </c>
      <c r="L36" s="2">
        <f t="shared" ca="1" si="10"/>
        <v>13496</v>
      </c>
      <c r="M36" s="2" t="str">
        <f t="shared" ca="1" si="11"/>
        <v>Yes</v>
      </c>
    </row>
    <row r="37" spans="1:13" x14ac:dyDescent="0.25">
      <c r="A37" s="2" t="str">
        <f t="shared" si="0"/>
        <v>E036</v>
      </c>
      <c r="B37" s="2" t="s">
        <v>82</v>
      </c>
      <c r="C37" s="2" t="str">
        <f t="shared" ca="1" si="1"/>
        <v>Oct</v>
      </c>
      <c r="D37" s="2" t="str">
        <f t="shared" ca="1" si="2"/>
        <v>South</v>
      </c>
      <c r="E37" s="2" t="str">
        <f t="shared" ca="1" si="3"/>
        <v>West Bengal</v>
      </c>
      <c r="F37" s="2" t="str">
        <f t="shared" ca="1" si="4"/>
        <v>Marketing</v>
      </c>
      <c r="G37" s="2" t="str">
        <f t="shared" ca="1" si="5"/>
        <v>Supervisor</v>
      </c>
      <c r="H37" s="2" t="str">
        <f t="shared" ca="1" si="6"/>
        <v>Books</v>
      </c>
      <c r="I37" s="2">
        <f t="shared" ca="1" si="7"/>
        <v>68</v>
      </c>
      <c r="J37" s="2">
        <f t="shared" ca="1" si="8"/>
        <v>48144</v>
      </c>
      <c r="K37" s="2">
        <f t="shared" ca="1" si="9"/>
        <v>12036</v>
      </c>
      <c r="L37" s="2">
        <f t="shared" ca="1" si="10"/>
        <v>38832</v>
      </c>
      <c r="M37" s="2" t="str">
        <f t="shared" ca="1" si="11"/>
        <v>Yes</v>
      </c>
    </row>
    <row r="38" spans="1:13" x14ac:dyDescent="0.25">
      <c r="A38" s="2" t="str">
        <f t="shared" si="0"/>
        <v>E037</v>
      </c>
      <c r="B38" s="2" t="s">
        <v>83</v>
      </c>
      <c r="C38" s="2" t="str">
        <f t="shared" ca="1" si="1"/>
        <v>Dec</v>
      </c>
      <c r="D38" s="2" t="str">
        <f t="shared" ca="1" si="2"/>
        <v>South</v>
      </c>
      <c r="E38" s="2" t="str">
        <f t="shared" ca="1" si="3"/>
        <v>Gujarat</v>
      </c>
      <c r="F38" s="2" t="str">
        <f t="shared" ca="1" si="4"/>
        <v>Operations</v>
      </c>
      <c r="G38" s="2" t="str">
        <f t="shared" ca="1" si="5"/>
        <v>Executive</v>
      </c>
      <c r="H38" s="2" t="str">
        <f t="shared" ca="1" si="6"/>
        <v>Electronics</v>
      </c>
      <c r="I38" s="2">
        <f t="shared" ca="1" si="7"/>
        <v>98</v>
      </c>
      <c r="J38" s="2">
        <f t="shared" ca="1" si="8"/>
        <v>73696</v>
      </c>
      <c r="K38" s="2">
        <f t="shared" ca="1" si="9"/>
        <v>12528.32</v>
      </c>
      <c r="L38" s="2">
        <f t="shared" ca="1" si="10"/>
        <v>37187</v>
      </c>
      <c r="M38" s="2" t="str">
        <f t="shared" ca="1" si="11"/>
        <v>Yes</v>
      </c>
    </row>
    <row r="39" spans="1:13" x14ac:dyDescent="0.25">
      <c r="A39" s="2" t="str">
        <f t="shared" si="0"/>
        <v>E038</v>
      </c>
      <c r="B39" s="2" t="s">
        <v>84</v>
      </c>
      <c r="C39" s="2" t="str">
        <f t="shared" ca="1" si="1"/>
        <v>Feb</v>
      </c>
      <c r="D39" s="2" t="str">
        <f t="shared" ca="1" si="2"/>
        <v>South</v>
      </c>
      <c r="E39" s="2" t="str">
        <f t="shared" ca="1" si="3"/>
        <v>Gujarat</v>
      </c>
      <c r="F39" s="2" t="str">
        <f t="shared" ca="1" si="4"/>
        <v>Operations</v>
      </c>
      <c r="G39" s="2" t="str">
        <f t="shared" ca="1" si="5"/>
        <v>Analyst</v>
      </c>
      <c r="H39" s="2" t="str">
        <f t="shared" ca="1" si="6"/>
        <v>Electronics</v>
      </c>
      <c r="I39" s="2">
        <f t="shared" ca="1" si="7"/>
        <v>93</v>
      </c>
      <c r="J39" s="2">
        <f t="shared" ca="1" si="8"/>
        <v>50034</v>
      </c>
      <c r="K39" s="2">
        <f t="shared" ca="1" si="9"/>
        <v>6004.08</v>
      </c>
      <c r="L39" s="2">
        <f t="shared" ca="1" si="10"/>
        <v>43832</v>
      </c>
      <c r="M39" s="2" t="str">
        <f t="shared" ca="1" si="11"/>
        <v>Yes</v>
      </c>
    </row>
    <row r="40" spans="1:13" x14ac:dyDescent="0.25">
      <c r="A40" s="2" t="str">
        <f t="shared" si="0"/>
        <v>E039</v>
      </c>
      <c r="B40" s="2" t="s">
        <v>85</v>
      </c>
      <c r="C40" s="2" t="str">
        <f t="shared" ca="1" si="1"/>
        <v>Oct</v>
      </c>
      <c r="D40" s="2" t="str">
        <f t="shared" ca="1" si="2"/>
        <v>East</v>
      </c>
      <c r="E40" s="2" t="str">
        <f t="shared" ca="1" si="3"/>
        <v>Punjab</v>
      </c>
      <c r="F40" s="2" t="str">
        <f t="shared" ca="1" si="4"/>
        <v>Operations</v>
      </c>
      <c r="G40" s="2" t="str">
        <f t="shared" ca="1" si="5"/>
        <v>Executive</v>
      </c>
      <c r="H40" s="2" t="str">
        <f t="shared" ca="1" si="6"/>
        <v>Clothing</v>
      </c>
      <c r="I40" s="2">
        <f t="shared" ca="1" si="7"/>
        <v>27</v>
      </c>
      <c r="J40" s="2">
        <f t="shared" ca="1" si="8"/>
        <v>12825</v>
      </c>
      <c r="K40" s="2">
        <f t="shared" ca="1" si="9"/>
        <v>3334.5</v>
      </c>
      <c r="L40" s="2">
        <f t="shared" ca="1" si="10"/>
        <v>16911</v>
      </c>
      <c r="M40" s="2" t="str">
        <f t="shared" ca="1" si="11"/>
        <v>No</v>
      </c>
    </row>
    <row r="41" spans="1:13" x14ac:dyDescent="0.25">
      <c r="A41" s="2" t="str">
        <f t="shared" si="0"/>
        <v>E040</v>
      </c>
      <c r="B41" s="2" t="s">
        <v>86</v>
      </c>
      <c r="C41" s="2" t="str">
        <f t="shared" ca="1" si="1"/>
        <v>Jan</v>
      </c>
      <c r="D41" s="2" t="str">
        <f t="shared" ca="1" si="2"/>
        <v>North</v>
      </c>
      <c r="E41" s="2" t="str">
        <f t="shared" ca="1" si="3"/>
        <v>Gujarat</v>
      </c>
      <c r="F41" s="2" t="str">
        <f t="shared" ca="1" si="4"/>
        <v>Marketing</v>
      </c>
      <c r="G41" s="2" t="str">
        <f t="shared" ca="1" si="5"/>
        <v>Analyst</v>
      </c>
      <c r="H41" s="2" t="str">
        <f t="shared" ca="1" si="6"/>
        <v>Clothing</v>
      </c>
      <c r="I41" s="2">
        <f t="shared" ca="1" si="7"/>
        <v>82</v>
      </c>
      <c r="J41" s="2">
        <f t="shared" ca="1" si="8"/>
        <v>46576</v>
      </c>
      <c r="K41" s="2">
        <f t="shared" ca="1" si="9"/>
        <v>9315.2000000000007</v>
      </c>
      <c r="L41" s="2">
        <f t="shared" ca="1" si="10"/>
        <v>22441</v>
      </c>
      <c r="M41" s="2" t="str">
        <f t="shared" ca="1" si="11"/>
        <v>Yes</v>
      </c>
    </row>
    <row r="42" spans="1:13" x14ac:dyDescent="0.25">
      <c r="A42" s="2" t="str">
        <f t="shared" si="0"/>
        <v>E041</v>
      </c>
      <c r="B42" s="2" t="s">
        <v>87</v>
      </c>
      <c r="C42" s="2" t="str">
        <f t="shared" ca="1" si="1"/>
        <v>Mar</v>
      </c>
      <c r="D42" s="2" t="str">
        <f t="shared" ca="1" si="2"/>
        <v>North</v>
      </c>
      <c r="E42" s="2" t="str">
        <f t="shared" ca="1" si="3"/>
        <v>Tamil Nadu</v>
      </c>
      <c r="F42" s="2" t="str">
        <f t="shared" ca="1" si="4"/>
        <v>Customer Support</v>
      </c>
      <c r="G42" s="2" t="str">
        <f t="shared" ca="1" si="5"/>
        <v>Supervisor</v>
      </c>
      <c r="H42" s="2" t="str">
        <f t="shared" ca="1" si="6"/>
        <v>Clothing</v>
      </c>
      <c r="I42" s="2">
        <f t="shared" ca="1" si="7"/>
        <v>99</v>
      </c>
      <c r="J42" s="2">
        <f t="shared" ca="1" si="8"/>
        <v>44154</v>
      </c>
      <c r="K42" s="2">
        <f t="shared" ca="1" si="9"/>
        <v>0</v>
      </c>
      <c r="L42" s="2">
        <f t="shared" ca="1" si="10"/>
        <v>35401</v>
      </c>
      <c r="M42" s="2" t="str">
        <f t="shared" ca="1" si="11"/>
        <v>Yes</v>
      </c>
    </row>
    <row r="43" spans="1:13" x14ac:dyDescent="0.25">
      <c r="A43" s="2" t="str">
        <f t="shared" si="0"/>
        <v>E042</v>
      </c>
      <c r="B43" s="2" t="s">
        <v>88</v>
      </c>
      <c r="C43" s="2" t="str">
        <f t="shared" ca="1" si="1"/>
        <v>Oct</v>
      </c>
      <c r="D43" s="2" t="str">
        <f t="shared" ca="1" si="2"/>
        <v>East</v>
      </c>
      <c r="E43" s="2" t="str">
        <f t="shared" ca="1" si="3"/>
        <v>Madhya Pradesh</v>
      </c>
      <c r="F43" s="2" t="str">
        <f t="shared" ca="1" si="4"/>
        <v>Operations</v>
      </c>
      <c r="G43" s="2" t="str">
        <f t="shared" ca="1" si="5"/>
        <v>Executive</v>
      </c>
      <c r="H43" s="2" t="str">
        <f t="shared" ca="1" si="6"/>
        <v>Books</v>
      </c>
      <c r="I43" s="2">
        <f t="shared" ca="1" si="7"/>
        <v>73</v>
      </c>
      <c r="J43" s="2">
        <f t="shared" ca="1" si="8"/>
        <v>18834</v>
      </c>
      <c r="K43" s="2">
        <f t="shared" ca="1" si="9"/>
        <v>-1695.06</v>
      </c>
      <c r="L43" s="2">
        <f t="shared" ca="1" si="10"/>
        <v>40022</v>
      </c>
      <c r="M43" s="2" t="str">
        <f t="shared" ca="1" si="11"/>
        <v>No</v>
      </c>
    </row>
    <row r="44" spans="1:13" x14ac:dyDescent="0.25">
      <c r="A44" s="2" t="str">
        <f t="shared" si="0"/>
        <v>E043</v>
      </c>
      <c r="B44" s="2" t="s">
        <v>89</v>
      </c>
      <c r="C44" s="2" t="str">
        <f t="shared" ca="1" si="1"/>
        <v>Jan</v>
      </c>
      <c r="D44" s="2" t="str">
        <f t="shared" ca="1" si="2"/>
        <v>East</v>
      </c>
      <c r="E44" s="2" t="str">
        <f t="shared" ca="1" si="3"/>
        <v>Tamil Nadu</v>
      </c>
      <c r="F44" s="2" t="str">
        <f t="shared" ca="1" si="4"/>
        <v>Sales</v>
      </c>
      <c r="G44" s="2" t="str">
        <f t="shared" ca="1" si="5"/>
        <v>Specialist</v>
      </c>
      <c r="H44" s="2" t="str">
        <f t="shared" ca="1" si="6"/>
        <v>Electronics</v>
      </c>
      <c r="I44" s="2">
        <f t="shared" ca="1" si="7"/>
        <v>68</v>
      </c>
      <c r="J44" s="2">
        <f t="shared" ca="1" si="8"/>
        <v>16388</v>
      </c>
      <c r="K44" s="2">
        <f t="shared" ca="1" si="9"/>
        <v>819.4</v>
      </c>
      <c r="L44" s="2">
        <f t="shared" ca="1" si="10"/>
        <v>15993</v>
      </c>
      <c r="M44" s="2" t="str">
        <f t="shared" ca="1" si="11"/>
        <v>Yes</v>
      </c>
    </row>
    <row r="45" spans="1:13" x14ac:dyDescent="0.25">
      <c r="A45" s="2" t="str">
        <f t="shared" si="0"/>
        <v>E044</v>
      </c>
      <c r="B45" s="2" t="s">
        <v>90</v>
      </c>
      <c r="C45" s="2" t="str">
        <f t="shared" ca="1" si="1"/>
        <v>Jun</v>
      </c>
      <c r="D45" s="2" t="str">
        <f t="shared" ca="1" si="2"/>
        <v>East</v>
      </c>
      <c r="E45" s="2" t="str">
        <f t="shared" ca="1" si="3"/>
        <v>West Bengal</v>
      </c>
      <c r="F45" s="2" t="str">
        <f t="shared" ca="1" si="4"/>
        <v>HR</v>
      </c>
      <c r="G45" s="2" t="str">
        <f t="shared" ca="1" si="5"/>
        <v>Supervisor</v>
      </c>
      <c r="H45" s="2" t="str">
        <f t="shared" ca="1" si="6"/>
        <v>Electronics</v>
      </c>
      <c r="I45" s="2">
        <f t="shared" ca="1" si="7"/>
        <v>11</v>
      </c>
      <c r="J45" s="2">
        <f t="shared" ca="1" si="8"/>
        <v>4147</v>
      </c>
      <c r="K45" s="2">
        <f t="shared" ca="1" si="9"/>
        <v>456.17</v>
      </c>
      <c r="L45" s="2">
        <f t="shared" ca="1" si="10"/>
        <v>11713</v>
      </c>
      <c r="M45" s="2" t="str">
        <f t="shared" ca="1" si="11"/>
        <v>No</v>
      </c>
    </row>
    <row r="46" spans="1:13" x14ac:dyDescent="0.25">
      <c r="A46" s="2" t="str">
        <f t="shared" si="0"/>
        <v>E045</v>
      </c>
      <c r="B46" s="2" t="s">
        <v>91</v>
      </c>
      <c r="C46" s="2" t="str">
        <f t="shared" ca="1" si="1"/>
        <v>Apr</v>
      </c>
      <c r="D46" s="2" t="str">
        <f t="shared" ca="1" si="2"/>
        <v>North</v>
      </c>
      <c r="E46" s="2" t="str">
        <f t="shared" ca="1" si="3"/>
        <v>Madhya Pradesh</v>
      </c>
      <c r="F46" s="2" t="str">
        <f t="shared" ca="1" si="4"/>
        <v>Marketing</v>
      </c>
      <c r="G46" s="2" t="str">
        <f t="shared" ca="1" si="5"/>
        <v>Analyst</v>
      </c>
      <c r="H46" s="2" t="str">
        <f t="shared" ca="1" si="6"/>
        <v>Electronics</v>
      </c>
      <c r="I46" s="2">
        <f t="shared" ca="1" si="7"/>
        <v>14</v>
      </c>
      <c r="J46" s="2">
        <f t="shared" ca="1" si="8"/>
        <v>13034</v>
      </c>
      <c r="K46" s="2">
        <f t="shared" ca="1" si="9"/>
        <v>912.38</v>
      </c>
      <c r="L46" s="2">
        <f t="shared" ca="1" si="10"/>
        <v>15896</v>
      </c>
      <c r="M46" s="2" t="str">
        <f t="shared" ca="1" si="11"/>
        <v>No</v>
      </c>
    </row>
    <row r="47" spans="1:13" x14ac:dyDescent="0.25">
      <c r="A47" s="2" t="str">
        <f t="shared" si="0"/>
        <v>E046</v>
      </c>
      <c r="B47" s="2" t="s">
        <v>25</v>
      </c>
      <c r="C47" s="2" t="str">
        <f t="shared" ca="1" si="1"/>
        <v>Aug</v>
      </c>
      <c r="D47" s="2" t="str">
        <f t="shared" ca="1" si="2"/>
        <v>South</v>
      </c>
      <c r="E47" s="2" t="str">
        <f t="shared" ca="1" si="3"/>
        <v>Delhi</v>
      </c>
      <c r="F47" s="2" t="str">
        <f t="shared" ca="1" si="4"/>
        <v>Operations</v>
      </c>
      <c r="G47" s="2" t="str">
        <f t="shared" ca="1" si="5"/>
        <v>Executive</v>
      </c>
      <c r="H47" s="2" t="str">
        <f t="shared" ca="1" si="6"/>
        <v>Books</v>
      </c>
      <c r="I47" s="2">
        <f t="shared" ca="1" si="7"/>
        <v>63</v>
      </c>
      <c r="J47" s="2">
        <f t="shared" ca="1" si="8"/>
        <v>34146</v>
      </c>
      <c r="K47" s="2">
        <f t="shared" ca="1" si="9"/>
        <v>5463.36</v>
      </c>
      <c r="L47" s="2">
        <f t="shared" ca="1" si="10"/>
        <v>18138</v>
      </c>
      <c r="M47" s="2" t="str">
        <f t="shared" ca="1" si="11"/>
        <v>Yes</v>
      </c>
    </row>
    <row r="48" spans="1:13" x14ac:dyDescent="0.25">
      <c r="A48" s="2" t="str">
        <f t="shared" si="0"/>
        <v>E047</v>
      </c>
      <c r="B48" s="2" t="s">
        <v>92</v>
      </c>
      <c r="C48" s="2" t="str">
        <f t="shared" ca="1" si="1"/>
        <v>Jan</v>
      </c>
      <c r="D48" s="2" t="str">
        <f t="shared" ca="1" si="2"/>
        <v>East</v>
      </c>
      <c r="E48" s="2" t="str">
        <f t="shared" ca="1" si="3"/>
        <v>Delhi</v>
      </c>
      <c r="F48" s="2" t="str">
        <f t="shared" ca="1" si="4"/>
        <v>Finance</v>
      </c>
      <c r="G48" s="2" t="str">
        <f t="shared" ca="1" si="5"/>
        <v>Supervisor</v>
      </c>
      <c r="H48" s="2" t="str">
        <f t="shared" ca="1" si="6"/>
        <v>Clothing</v>
      </c>
      <c r="I48" s="2">
        <f t="shared" ca="1" si="7"/>
        <v>52</v>
      </c>
      <c r="J48" s="2">
        <f t="shared" ca="1" si="8"/>
        <v>13260</v>
      </c>
      <c r="K48" s="2">
        <f t="shared" ca="1" si="9"/>
        <v>397.8</v>
      </c>
      <c r="L48" s="2">
        <f t="shared" ca="1" si="10"/>
        <v>12999</v>
      </c>
      <c r="M48" s="2" t="str">
        <f t="shared" ca="1" si="11"/>
        <v>Yes</v>
      </c>
    </row>
    <row r="49" spans="1:13" x14ac:dyDescent="0.25">
      <c r="A49" s="2" t="str">
        <f t="shared" si="0"/>
        <v>E048</v>
      </c>
      <c r="B49" s="2" t="s">
        <v>93</v>
      </c>
      <c r="C49" s="2" t="str">
        <f t="shared" ca="1" si="1"/>
        <v>Apr</v>
      </c>
      <c r="D49" s="2" t="str">
        <f t="shared" ca="1" si="2"/>
        <v>West</v>
      </c>
      <c r="E49" s="2" t="str">
        <f t="shared" ca="1" si="3"/>
        <v>Tamil Nadu</v>
      </c>
      <c r="F49" s="2" t="str">
        <f t="shared" ca="1" si="4"/>
        <v>Sales</v>
      </c>
      <c r="G49" s="2" t="str">
        <f t="shared" ca="1" si="5"/>
        <v>Supervisor</v>
      </c>
      <c r="H49" s="2" t="str">
        <f t="shared" ca="1" si="6"/>
        <v>Shoes</v>
      </c>
      <c r="I49" s="2">
        <f t="shared" ca="1" si="7"/>
        <v>35</v>
      </c>
      <c r="J49" s="2">
        <f t="shared" ca="1" si="8"/>
        <v>27405</v>
      </c>
      <c r="K49" s="2">
        <f t="shared" ca="1" si="9"/>
        <v>2466.4499999999998</v>
      </c>
      <c r="L49" s="2">
        <f t="shared" ca="1" si="10"/>
        <v>10288</v>
      </c>
      <c r="M49" s="2" t="str">
        <f t="shared" ca="1" si="11"/>
        <v>Yes</v>
      </c>
    </row>
    <row r="50" spans="1:13" x14ac:dyDescent="0.25">
      <c r="A50" s="2" t="str">
        <f t="shared" si="0"/>
        <v>E049</v>
      </c>
      <c r="B50" s="2" t="s">
        <v>94</v>
      </c>
      <c r="C50" s="2" t="str">
        <f t="shared" ca="1" si="1"/>
        <v>May</v>
      </c>
      <c r="D50" s="2" t="str">
        <f t="shared" ca="1" si="2"/>
        <v>South</v>
      </c>
      <c r="E50" s="2" t="str">
        <f t="shared" ca="1" si="3"/>
        <v>Punjab</v>
      </c>
      <c r="F50" s="2" t="str">
        <f t="shared" ca="1" si="4"/>
        <v>Finance</v>
      </c>
      <c r="G50" s="2" t="str">
        <f t="shared" ca="1" si="5"/>
        <v>Supervisor</v>
      </c>
      <c r="H50" s="2" t="str">
        <f t="shared" ca="1" si="6"/>
        <v>Clothing</v>
      </c>
      <c r="I50" s="2">
        <f t="shared" ca="1" si="7"/>
        <v>11</v>
      </c>
      <c r="J50" s="2">
        <f t="shared" ca="1" si="8"/>
        <v>8602</v>
      </c>
      <c r="K50" s="2">
        <f t="shared" ca="1" si="9"/>
        <v>-602.14</v>
      </c>
      <c r="L50" s="2">
        <f t="shared" ca="1" si="10"/>
        <v>19220</v>
      </c>
      <c r="M50" s="2" t="str">
        <f t="shared" ca="1" si="11"/>
        <v>No</v>
      </c>
    </row>
    <row r="51" spans="1:13" x14ac:dyDescent="0.25">
      <c r="A51" s="2" t="str">
        <f t="shared" si="0"/>
        <v>E050</v>
      </c>
      <c r="B51" s="2" t="s">
        <v>95</v>
      </c>
      <c r="C51" s="2" t="str">
        <f t="shared" ca="1" si="1"/>
        <v>Aug</v>
      </c>
      <c r="D51" s="2" t="str">
        <f t="shared" ca="1" si="2"/>
        <v>South</v>
      </c>
      <c r="E51" s="2" t="str">
        <f t="shared" ca="1" si="3"/>
        <v>Delhi</v>
      </c>
      <c r="F51" s="2" t="str">
        <f t="shared" ca="1" si="4"/>
        <v>Operations</v>
      </c>
      <c r="G51" s="2" t="str">
        <f t="shared" ca="1" si="5"/>
        <v>Analyst</v>
      </c>
      <c r="H51" s="2" t="str">
        <f t="shared" ca="1" si="6"/>
        <v>Books</v>
      </c>
      <c r="I51" s="2">
        <f t="shared" ca="1" si="7"/>
        <v>80</v>
      </c>
      <c r="J51" s="2">
        <f t="shared" ca="1" si="8"/>
        <v>75280</v>
      </c>
      <c r="K51" s="2">
        <f t="shared" ca="1" si="9"/>
        <v>-6022.4</v>
      </c>
      <c r="L51" s="2">
        <f t="shared" ca="1" si="10"/>
        <v>30363</v>
      </c>
      <c r="M51" s="2" t="str">
        <f t="shared" ca="1" si="11"/>
        <v>Yes</v>
      </c>
    </row>
    <row r="52" spans="1:13" x14ac:dyDescent="0.25">
      <c r="A52" s="2" t="str">
        <f t="shared" si="0"/>
        <v>E051</v>
      </c>
      <c r="B52" s="2" t="s">
        <v>96</v>
      </c>
      <c r="C52" s="2" t="str">
        <f t="shared" ca="1" si="1"/>
        <v>Apr</v>
      </c>
      <c r="D52" s="2" t="str">
        <f t="shared" ca="1" si="2"/>
        <v>North</v>
      </c>
      <c r="E52" s="2" t="str">
        <f t="shared" ca="1" si="3"/>
        <v>Punjab</v>
      </c>
      <c r="F52" s="2" t="str">
        <f t="shared" ca="1" si="4"/>
        <v>Finance</v>
      </c>
      <c r="G52" s="2" t="str">
        <f t="shared" ca="1" si="5"/>
        <v>Supervisor</v>
      </c>
      <c r="H52" s="2" t="str">
        <f t="shared" ca="1" si="6"/>
        <v>Shoes</v>
      </c>
      <c r="I52" s="2">
        <f t="shared" ca="1" si="7"/>
        <v>98</v>
      </c>
      <c r="J52" s="2">
        <f t="shared" ca="1" si="8"/>
        <v>43708</v>
      </c>
      <c r="K52" s="2">
        <f t="shared" ca="1" si="9"/>
        <v>3059.56</v>
      </c>
      <c r="L52" s="2">
        <f t="shared" ca="1" si="10"/>
        <v>18943</v>
      </c>
      <c r="M52" s="2" t="str">
        <f t="shared" ca="1" si="11"/>
        <v>Yes</v>
      </c>
    </row>
    <row r="53" spans="1:13" x14ac:dyDescent="0.25">
      <c r="A53" s="2" t="str">
        <f t="shared" si="0"/>
        <v>E052</v>
      </c>
      <c r="B53" s="2" t="s">
        <v>35</v>
      </c>
      <c r="C53" s="2" t="str">
        <f t="shared" ca="1" si="1"/>
        <v>Mar</v>
      </c>
      <c r="D53" s="2" t="str">
        <f t="shared" ca="1" si="2"/>
        <v>South</v>
      </c>
      <c r="E53" s="2" t="str">
        <f t="shared" ca="1" si="3"/>
        <v>West Bengal</v>
      </c>
      <c r="F53" s="2" t="str">
        <f t="shared" ca="1" si="4"/>
        <v>Marketing</v>
      </c>
      <c r="G53" s="2" t="str">
        <f t="shared" ca="1" si="5"/>
        <v>Analyst</v>
      </c>
      <c r="H53" s="2" t="str">
        <f t="shared" ca="1" si="6"/>
        <v>Shoes</v>
      </c>
      <c r="I53" s="2">
        <f t="shared" ca="1" si="7"/>
        <v>84</v>
      </c>
      <c r="J53" s="2">
        <f t="shared" ca="1" si="8"/>
        <v>61908</v>
      </c>
      <c r="K53" s="2">
        <f t="shared" ca="1" si="9"/>
        <v>-6190.8</v>
      </c>
      <c r="L53" s="2">
        <f t="shared" ca="1" si="10"/>
        <v>17780</v>
      </c>
      <c r="M53" s="2" t="str">
        <f t="shared" ca="1" si="11"/>
        <v>Yes</v>
      </c>
    </row>
    <row r="54" spans="1:13" x14ac:dyDescent="0.25">
      <c r="A54" s="2" t="str">
        <f t="shared" si="0"/>
        <v>E053</v>
      </c>
      <c r="B54" s="2" t="s">
        <v>14</v>
      </c>
      <c r="C54" s="2" t="str">
        <f t="shared" ca="1" si="1"/>
        <v>Nov</v>
      </c>
      <c r="D54" s="2" t="str">
        <f t="shared" ca="1" si="2"/>
        <v>West</v>
      </c>
      <c r="E54" s="2" t="str">
        <f t="shared" ca="1" si="3"/>
        <v>Tamil Nadu</v>
      </c>
      <c r="F54" s="2" t="str">
        <f t="shared" ca="1" si="4"/>
        <v>Sales</v>
      </c>
      <c r="G54" s="2" t="str">
        <f t="shared" ca="1" si="5"/>
        <v>Analyst</v>
      </c>
      <c r="H54" s="2" t="str">
        <f t="shared" ca="1" si="6"/>
        <v>Shoes</v>
      </c>
      <c r="I54" s="2">
        <f t="shared" ca="1" si="7"/>
        <v>22</v>
      </c>
      <c r="J54" s="2">
        <f t="shared" ca="1" si="8"/>
        <v>11638</v>
      </c>
      <c r="K54" s="2">
        <f t="shared" ca="1" si="9"/>
        <v>2211.2199999999998</v>
      </c>
      <c r="L54" s="2">
        <f t="shared" ca="1" si="10"/>
        <v>15131</v>
      </c>
      <c r="M54" s="2" t="str">
        <f t="shared" ca="1" si="11"/>
        <v>No</v>
      </c>
    </row>
    <row r="55" spans="1:13" x14ac:dyDescent="0.25">
      <c r="A55" s="2" t="str">
        <f t="shared" si="0"/>
        <v>E054</v>
      </c>
      <c r="B55" s="2" t="s">
        <v>97</v>
      </c>
      <c r="C55" s="2" t="str">
        <f t="shared" ca="1" si="1"/>
        <v>Jul</v>
      </c>
      <c r="D55" s="2" t="str">
        <f t="shared" ca="1" si="2"/>
        <v>West</v>
      </c>
      <c r="E55" s="2" t="str">
        <f t="shared" ca="1" si="3"/>
        <v>Punjab</v>
      </c>
      <c r="F55" s="2" t="str">
        <f t="shared" ca="1" si="4"/>
        <v>HR</v>
      </c>
      <c r="G55" s="2" t="str">
        <f t="shared" ca="1" si="5"/>
        <v>Executive</v>
      </c>
      <c r="H55" s="2" t="str">
        <f t="shared" ca="1" si="6"/>
        <v>Clothing</v>
      </c>
      <c r="I55" s="2">
        <f t="shared" ca="1" si="7"/>
        <v>55</v>
      </c>
      <c r="J55" s="2">
        <f t="shared" ca="1" si="8"/>
        <v>30800</v>
      </c>
      <c r="K55" s="2">
        <f t="shared" ca="1" si="9"/>
        <v>4620</v>
      </c>
      <c r="L55" s="2">
        <f t="shared" ca="1" si="10"/>
        <v>23334</v>
      </c>
      <c r="M55" s="2" t="str">
        <f t="shared" ca="1" si="11"/>
        <v>Yes</v>
      </c>
    </row>
    <row r="56" spans="1:13" x14ac:dyDescent="0.25">
      <c r="A56" s="2" t="str">
        <f t="shared" si="0"/>
        <v>E055</v>
      </c>
      <c r="B56" s="2" t="s">
        <v>98</v>
      </c>
      <c r="C56" s="2" t="str">
        <f t="shared" ca="1" si="1"/>
        <v>Jan</v>
      </c>
      <c r="D56" s="2" t="str">
        <f t="shared" ca="1" si="2"/>
        <v>East</v>
      </c>
      <c r="E56" s="2" t="str">
        <f t="shared" ca="1" si="3"/>
        <v>Punjab</v>
      </c>
      <c r="F56" s="2" t="str">
        <f t="shared" ca="1" si="4"/>
        <v>Marketing</v>
      </c>
      <c r="G56" s="2" t="str">
        <f t="shared" ca="1" si="5"/>
        <v>Specialist</v>
      </c>
      <c r="H56" s="2" t="str">
        <f t="shared" ca="1" si="6"/>
        <v>Shoes</v>
      </c>
      <c r="I56" s="2">
        <f t="shared" ca="1" si="7"/>
        <v>40</v>
      </c>
      <c r="J56" s="2">
        <f t="shared" ca="1" si="8"/>
        <v>39920</v>
      </c>
      <c r="K56" s="2">
        <f t="shared" ca="1" si="9"/>
        <v>4391.2</v>
      </c>
      <c r="L56" s="2">
        <f t="shared" ca="1" si="10"/>
        <v>36616</v>
      </c>
      <c r="M56" s="2" t="str">
        <f t="shared" ca="1" si="11"/>
        <v>Yes</v>
      </c>
    </row>
    <row r="57" spans="1:13" x14ac:dyDescent="0.25">
      <c r="A57" s="2" t="str">
        <f t="shared" si="0"/>
        <v>E056</v>
      </c>
      <c r="B57" s="2" t="s">
        <v>50</v>
      </c>
      <c r="C57" s="2" t="str">
        <f t="shared" ca="1" si="1"/>
        <v>Oct</v>
      </c>
      <c r="D57" s="2" t="str">
        <f t="shared" ca="1" si="2"/>
        <v>South</v>
      </c>
      <c r="E57" s="2" t="str">
        <f t="shared" ca="1" si="3"/>
        <v>Gujarat</v>
      </c>
      <c r="F57" s="2" t="str">
        <f t="shared" ca="1" si="4"/>
        <v>HR</v>
      </c>
      <c r="G57" s="2" t="str">
        <f t="shared" ca="1" si="5"/>
        <v>Specialist</v>
      </c>
      <c r="H57" s="2" t="str">
        <f t="shared" ca="1" si="6"/>
        <v>Shoes</v>
      </c>
      <c r="I57" s="2">
        <f t="shared" ca="1" si="7"/>
        <v>34</v>
      </c>
      <c r="J57" s="2">
        <f t="shared" ca="1" si="8"/>
        <v>11798</v>
      </c>
      <c r="K57" s="2">
        <f t="shared" ca="1" si="9"/>
        <v>2477.58</v>
      </c>
      <c r="L57" s="2">
        <f t="shared" ca="1" si="10"/>
        <v>28269</v>
      </c>
      <c r="M57" s="2" t="str">
        <f t="shared" ca="1" si="11"/>
        <v>No</v>
      </c>
    </row>
    <row r="58" spans="1:13" x14ac:dyDescent="0.25">
      <c r="A58" s="2" t="str">
        <f t="shared" si="0"/>
        <v>E057</v>
      </c>
      <c r="B58" s="2" t="s">
        <v>99</v>
      </c>
      <c r="C58" s="2" t="str">
        <f t="shared" ca="1" si="1"/>
        <v>Jun</v>
      </c>
      <c r="D58" s="2" t="str">
        <f t="shared" ca="1" si="2"/>
        <v>West</v>
      </c>
      <c r="E58" s="2" t="str">
        <f t="shared" ca="1" si="3"/>
        <v>West Bengal</v>
      </c>
      <c r="F58" s="2" t="str">
        <f t="shared" ca="1" si="4"/>
        <v>Sales</v>
      </c>
      <c r="G58" s="2" t="str">
        <f t="shared" ca="1" si="5"/>
        <v>Supervisor</v>
      </c>
      <c r="H58" s="2" t="str">
        <f t="shared" ca="1" si="6"/>
        <v>Books</v>
      </c>
      <c r="I58" s="2">
        <f t="shared" ca="1" si="7"/>
        <v>98</v>
      </c>
      <c r="J58" s="2">
        <f t="shared" ca="1" si="8"/>
        <v>41258</v>
      </c>
      <c r="K58" s="2">
        <f t="shared" ca="1" si="9"/>
        <v>7839.02</v>
      </c>
      <c r="L58" s="2">
        <f t="shared" ca="1" si="10"/>
        <v>14293</v>
      </c>
      <c r="M58" s="2" t="str">
        <f t="shared" ca="1" si="11"/>
        <v>Yes</v>
      </c>
    </row>
    <row r="59" spans="1:13" x14ac:dyDescent="0.25">
      <c r="A59" s="2" t="str">
        <f t="shared" si="0"/>
        <v>E058</v>
      </c>
      <c r="B59" s="2" t="s">
        <v>100</v>
      </c>
      <c r="C59" s="2" t="str">
        <f t="shared" ca="1" si="1"/>
        <v>Apr</v>
      </c>
      <c r="D59" s="2" t="str">
        <f t="shared" ca="1" si="2"/>
        <v>East</v>
      </c>
      <c r="E59" s="2" t="str">
        <f t="shared" ca="1" si="3"/>
        <v>Punjab</v>
      </c>
      <c r="F59" s="2" t="str">
        <f t="shared" ca="1" si="4"/>
        <v>Sales</v>
      </c>
      <c r="G59" s="2" t="str">
        <f t="shared" ca="1" si="5"/>
        <v>Specialist</v>
      </c>
      <c r="H59" s="2" t="str">
        <f t="shared" ca="1" si="6"/>
        <v>Books</v>
      </c>
      <c r="I59" s="2">
        <f t="shared" ca="1" si="7"/>
        <v>63</v>
      </c>
      <c r="J59" s="2">
        <f t="shared" ca="1" si="8"/>
        <v>41958</v>
      </c>
      <c r="K59" s="2">
        <f t="shared" ca="1" si="9"/>
        <v>8391.6</v>
      </c>
      <c r="L59" s="2">
        <f t="shared" ca="1" si="10"/>
        <v>18999</v>
      </c>
      <c r="M59" s="2" t="str">
        <f t="shared" ca="1" si="11"/>
        <v>Yes</v>
      </c>
    </row>
    <row r="60" spans="1:13" x14ac:dyDescent="0.25">
      <c r="A60" s="2" t="str">
        <f t="shared" si="0"/>
        <v>E059</v>
      </c>
      <c r="B60" s="2" t="s">
        <v>101</v>
      </c>
      <c r="C60" s="2" t="str">
        <f t="shared" ca="1" si="1"/>
        <v>May</v>
      </c>
      <c r="D60" s="2" t="str">
        <f t="shared" ca="1" si="2"/>
        <v>West</v>
      </c>
      <c r="E60" s="2" t="str">
        <f t="shared" ca="1" si="3"/>
        <v>Tamil Nadu</v>
      </c>
      <c r="F60" s="2" t="str">
        <f t="shared" ca="1" si="4"/>
        <v>Finance</v>
      </c>
      <c r="G60" s="2" t="str">
        <f t="shared" ca="1" si="5"/>
        <v>Supervisor</v>
      </c>
      <c r="H60" s="2" t="str">
        <f t="shared" ca="1" si="6"/>
        <v>Clothing</v>
      </c>
      <c r="I60" s="2">
        <f t="shared" ca="1" si="7"/>
        <v>82</v>
      </c>
      <c r="J60" s="2">
        <f t="shared" ca="1" si="8"/>
        <v>57072</v>
      </c>
      <c r="K60" s="2">
        <f t="shared" ca="1" si="9"/>
        <v>10843.68</v>
      </c>
      <c r="L60" s="2">
        <f t="shared" ca="1" si="10"/>
        <v>28547</v>
      </c>
      <c r="M60" s="2" t="str">
        <f t="shared" ca="1" si="11"/>
        <v>Yes</v>
      </c>
    </row>
    <row r="61" spans="1:13" x14ac:dyDescent="0.25">
      <c r="A61" s="2" t="str">
        <f t="shared" si="0"/>
        <v>E060</v>
      </c>
      <c r="B61" s="2" t="s">
        <v>20</v>
      </c>
      <c r="C61" s="2" t="str">
        <f t="shared" ca="1" si="1"/>
        <v>May</v>
      </c>
      <c r="D61" s="2" t="str">
        <f t="shared" ca="1" si="2"/>
        <v>North</v>
      </c>
      <c r="E61" s="2" t="str">
        <f t="shared" ca="1" si="3"/>
        <v>Madhya Pradesh</v>
      </c>
      <c r="F61" s="2" t="str">
        <f t="shared" ca="1" si="4"/>
        <v>Marketing</v>
      </c>
      <c r="G61" s="2" t="str">
        <f t="shared" ca="1" si="5"/>
        <v>Specialist</v>
      </c>
      <c r="H61" s="2" t="str">
        <f t="shared" ca="1" si="6"/>
        <v>Shoes</v>
      </c>
      <c r="I61" s="2">
        <f t="shared" ca="1" si="7"/>
        <v>36</v>
      </c>
      <c r="J61" s="2">
        <f t="shared" ca="1" si="8"/>
        <v>25164</v>
      </c>
      <c r="K61" s="2">
        <f t="shared" ca="1" si="9"/>
        <v>4026.24</v>
      </c>
      <c r="L61" s="2">
        <f t="shared" ca="1" si="10"/>
        <v>33895</v>
      </c>
      <c r="M61" s="2" t="str">
        <f t="shared" ca="1" si="11"/>
        <v>No</v>
      </c>
    </row>
    <row r="62" spans="1:13" x14ac:dyDescent="0.25">
      <c r="A62" s="2" t="str">
        <f t="shared" si="0"/>
        <v>E061</v>
      </c>
      <c r="B62" s="2" t="s">
        <v>54</v>
      </c>
      <c r="C62" s="2" t="str">
        <f t="shared" ca="1" si="1"/>
        <v>Sep</v>
      </c>
      <c r="D62" s="2" t="str">
        <f t="shared" ca="1" si="2"/>
        <v>East</v>
      </c>
      <c r="E62" s="2" t="str">
        <f t="shared" ca="1" si="3"/>
        <v>Tamil Nadu</v>
      </c>
      <c r="F62" s="2" t="str">
        <f t="shared" ca="1" si="4"/>
        <v>Operations</v>
      </c>
      <c r="G62" s="2" t="str">
        <f t="shared" ca="1" si="5"/>
        <v>Analyst</v>
      </c>
      <c r="H62" s="2" t="str">
        <f t="shared" ca="1" si="6"/>
        <v>Shoes</v>
      </c>
      <c r="I62" s="2">
        <f t="shared" ca="1" si="7"/>
        <v>10</v>
      </c>
      <c r="J62" s="2">
        <f t="shared" ca="1" si="8"/>
        <v>3700</v>
      </c>
      <c r="K62" s="2">
        <f t="shared" ca="1" si="9"/>
        <v>296</v>
      </c>
      <c r="L62" s="2">
        <f t="shared" ca="1" si="10"/>
        <v>31263</v>
      </c>
      <c r="M62" s="2" t="str">
        <f t="shared" ca="1" si="11"/>
        <v>No</v>
      </c>
    </row>
    <row r="63" spans="1:13" x14ac:dyDescent="0.25">
      <c r="A63" s="2" t="str">
        <f t="shared" si="0"/>
        <v>E062</v>
      </c>
      <c r="B63" s="2" t="s">
        <v>102</v>
      </c>
      <c r="C63" s="2" t="str">
        <f t="shared" ca="1" si="1"/>
        <v>Jul</v>
      </c>
      <c r="D63" s="2" t="str">
        <f t="shared" ca="1" si="2"/>
        <v>East</v>
      </c>
      <c r="E63" s="2" t="str">
        <f t="shared" ca="1" si="3"/>
        <v>Delhi</v>
      </c>
      <c r="F63" s="2" t="str">
        <f t="shared" ca="1" si="4"/>
        <v>Customer Support</v>
      </c>
      <c r="G63" s="2" t="str">
        <f t="shared" ca="1" si="5"/>
        <v>Executive</v>
      </c>
      <c r="H63" s="2" t="str">
        <f t="shared" ca="1" si="6"/>
        <v>Electronics</v>
      </c>
      <c r="I63" s="2">
        <f t="shared" ca="1" si="7"/>
        <v>10</v>
      </c>
      <c r="J63" s="2">
        <f t="shared" ca="1" si="8"/>
        <v>6860</v>
      </c>
      <c r="K63" s="2">
        <f t="shared" ca="1" si="9"/>
        <v>1440.6</v>
      </c>
      <c r="L63" s="2">
        <f t="shared" ca="1" si="10"/>
        <v>46472</v>
      </c>
      <c r="M63" s="2" t="str">
        <f t="shared" ca="1" si="11"/>
        <v>No</v>
      </c>
    </row>
    <row r="64" spans="1:13" x14ac:dyDescent="0.25">
      <c r="A64" s="2" t="str">
        <f t="shared" si="0"/>
        <v>E063</v>
      </c>
      <c r="B64" s="2" t="s">
        <v>103</v>
      </c>
      <c r="C64" s="2" t="str">
        <f t="shared" ca="1" si="1"/>
        <v>May</v>
      </c>
      <c r="D64" s="2" t="str">
        <f t="shared" ca="1" si="2"/>
        <v>West</v>
      </c>
      <c r="E64" s="2" t="str">
        <f t="shared" ca="1" si="3"/>
        <v>Madhya Pradesh</v>
      </c>
      <c r="F64" s="2" t="str">
        <f t="shared" ca="1" si="4"/>
        <v>Operations</v>
      </c>
      <c r="G64" s="2" t="str">
        <f t="shared" ca="1" si="5"/>
        <v>Specialist</v>
      </c>
      <c r="H64" s="2" t="str">
        <f t="shared" ca="1" si="6"/>
        <v>Electronics</v>
      </c>
      <c r="I64" s="2">
        <f t="shared" ca="1" si="7"/>
        <v>37</v>
      </c>
      <c r="J64" s="2">
        <f t="shared" ca="1" si="8"/>
        <v>36482</v>
      </c>
      <c r="K64" s="2">
        <f t="shared" ca="1" si="9"/>
        <v>6201.94</v>
      </c>
      <c r="L64" s="2">
        <f t="shared" ca="1" si="10"/>
        <v>23048</v>
      </c>
      <c r="M64" s="2" t="str">
        <f t="shared" ca="1" si="11"/>
        <v>Yes</v>
      </c>
    </row>
    <row r="65" spans="1:13" x14ac:dyDescent="0.25">
      <c r="A65" s="2" t="str">
        <f t="shared" si="0"/>
        <v>E064</v>
      </c>
      <c r="B65" s="2" t="s">
        <v>104</v>
      </c>
      <c r="C65" s="2" t="str">
        <f t="shared" ca="1" si="1"/>
        <v>Jan</v>
      </c>
      <c r="D65" s="2" t="str">
        <f t="shared" ca="1" si="2"/>
        <v>West</v>
      </c>
      <c r="E65" s="2" t="str">
        <f t="shared" ca="1" si="3"/>
        <v>Gujarat</v>
      </c>
      <c r="F65" s="2" t="str">
        <f t="shared" ca="1" si="4"/>
        <v>Marketing</v>
      </c>
      <c r="G65" s="2" t="str">
        <f t="shared" ca="1" si="5"/>
        <v>Executive</v>
      </c>
      <c r="H65" s="2" t="str">
        <f t="shared" ca="1" si="6"/>
        <v>Electronics</v>
      </c>
      <c r="I65" s="2">
        <f t="shared" ca="1" si="7"/>
        <v>70</v>
      </c>
      <c r="J65" s="2">
        <f t="shared" ca="1" si="8"/>
        <v>17150</v>
      </c>
      <c r="K65" s="2">
        <f t="shared" ca="1" si="9"/>
        <v>4116</v>
      </c>
      <c r="L65" s="2">
        <f t="shared" ca="1" si="10"/>
        <v>35608</v>
      </c>
      <c r="M65" s="2" t="str">
        <f t="shared" ca="1" si="11"/>
        <v>No</v>
      </c>
    </row>
    <row r="66" spans="1:13" x14ac:dyDescent="0.25">
      <c r="A66" s="2" t="str">
        <f t="shared" si="0"/>
        <v>E065</v>
      </c>
      <c r="B66" s="2" t="s">
        <v>26</v>
      </c>
      <c r="C66" s="2" t="str">
        <f t="shared" ca="1" si="1"/>
        <v>Dec</v>
      </c>
      <c r="D66" s="2" t="str">
        <f t="shared" ca="1" si="2"/>
        <v>South</v>
      </c>
      <c r="E66" s="2" t="str">
        <f t="shared" ca="1" si="3"/>
        <v>Madhya Pradesh</v>
      </c>
      <c r="F66" s="2" t="str">
        <f t="shared" ca="1" si="4"/>
        <v>Marketing</v>
      </c>
      <c r="G66" s="2" t="str">
        <f t="shared" ca="1" si="5"/>
        <v>Supervisor</v>
      </c>
      <c r="H66" s="2" t="str">
        <f t="shared" ca="1" si="6"/>
        <v>Shoes</v>
      </c>
      <c r="I66" s="2">
        <f t="shared" ca="1" si="7"/>
        <v>49</v>
      </c>
      <c r="J66" s="2">
        <f t="shared" ca="1" si="8"/>
        <v>42728</v>
      </c>
      <c r="K66" s="2">
        <f t="shared" ca="1" si="9"/>
        <v>3418.24</v>
      </c>
      <c r="L66" s="2">
        <f t="shared" ca="1" si="10"/>
        <v>20614</v>
      </c>
      <c r="M66" s="2" t="str">
        <f t="shared" ca="1" si="11"/>
        <v>Yes</v>
      </c>
    </row>
    <row r="67" spans="1:13" x14ac:dyDescent="0.25">
      <c r="A67" s="2" t="str">
        <f t="shared" ref="A67:A130" si="12">"E"&amp;TEXT(ROW(A66),"000")</f>
        <v>E066</v>
      </c>
      <c r="B67" s="2" t="s">
        <v>83</v>
      </c>
      <c r="C67" s="2" t="str">
        <f t="shared" ref="C67:C130" ca="1" si="13">CHOOSE(RANDBETWEEN(1,12),"Jan","Feb","Mar","Apr","May","Jun","Jul","Aug","Sep","Oct","Nov","Dec")</f>
        <v>Nov</v>
      </c>
      <c r="D67" s="2" t="str">
        <f t="shared" ref="D67:D130" ca="1" si="14">CHOOSE(RANDBETWEEN(1,4),"North","South","East","West")</f>
        <v>North</v>
      </c>
      <c r="E67" s="2" t="str">
        <f t="shared" ref="E67:E130" ca="1" si="15">CHOOSE(RANDBETWEEN(1,6),"Punjab","Gujarat","Tamil Nadu","Madhya Pradesh","Delhi","West Bengal")</f>
        <v>West Bengal</v>
      </c>
      <c r="F67" s="2" t="str">
        <f t="shared" ref="F67:F130" ca="1" si="16">CHOOSE(RANDBETWEEN(1,6),"Sales","Marketing","Finance","Operations","HR","Customer Support")</f>
        <v>Customer Support</v>
      </c>
      <c r="G67" s="2" t="str">
        <f t="shared" ref="G67:G130" ca="1" si="17">CHOOSE(RANDBETWEEN(1,4),"Analyst","Executive","Supervisor","Specialist")</f>
        <v>Supervisor</v>
      </c>
      <c r="H67" s="2" t="str">
        <f t="shared" ref="H67:H130" ca="1" si="18">CHOOSE(RANDBETWEEN(1,4),"Clothing","Shoes","Electronics","Books")</f>
        <v>Shoes</v>
      </c>
      <c r="I67" s="2">
        <f t="shared" ref="I67:I130" ca="1" si="19">RANDBETWEEN(5,100)</f>
        <v>79</v>
      </c>
      <c r="J67" s="2">
        <f t="shared" ref="J67:J130" ca="1" si="20">I67*RANDBETWEEN(200,1000)</f>
        <v>48506</v>
      </c>
      <c r="K67" s="2">
        <f t="shared" ref="K67:K130" ca="1" si="21">J67*RANDBETWEEN(-10,30)/100</f>
        <v>14551.8</v>
      </c>
      <c r="L67" s="2">
        <f t="shared" ref="L67:L130" ca="1" si="22">RANDBETWEEN(10000,50000)</f>
        <v>35336</v>
      </c>
      <c r="M67" s="2" t="str">
        <f t="shared" ref="M67:M130" ca="1" si="23">IF(J67&gt;=L67,"Yes","No")</f>
        <v>Yes</v>
      </c>
    </row>
    <row r="68" spans="1:13" x14ac:dyDescent="0.25">
      <c r="A68" s="2" t="str">
        <f t="shared" si="12"/>
        <v>E067</v>
      </c>
      <c r="B68" s="2" t="s">
        <v>105</v>
      </c>
      <c r="C68" s="2" t="str">
        <f t="shared" ca="1" si="13"/>
        <v>Aug</v>
      </c>
      <c r="D68" s="2" t="str">
        <f t="shared" ca="1" si="14"/>
        <v>South</v>
      </c>
      <c r="E68" s="2" t="str">
        <f t="shared" ca="1" si="15"/>
        <v>Punjab</v>
      </c>
      <c r="F68" s="2" t="str">
        <f t="shared" ca="1" si="16"/>
        <v>Finance</v>
      </c>
      <c r="G68" s="2" t="str">
        <f t="shared" ca="1" si="17"/>
        <v>Analyst</v>
      </c>
      <c r="H68" s="2" t="str">
        <f t="shared" ca="1" si="18"/>
        <v>Books</v>
      </c>
      <c r="I68" s="2">
        <f t="shared" ca="1" si="19"/>
        <v>76</v>
      </c>
      <c r="J68" s="2">
        <f t="shared" ca="1" si="20"/>
        <v>36328</v>
      </c>
      <c r="K68" s="2">
        <f t="shared" ca="1" si="21"/>
        <v>-2906.24</v>
      </c>
      <c r="L68" s="2">
        <f t="shared" ca="1" si="22"/>
        <v>26349</v>
      </c>
      <c r="M68" s="2" t="str">
        <f t="shared" ca="1" si="23"/>
        <v>Yes</v>
      </c>
    </row>
    <row r="69" spans="1:13" x14ac:dyDescent="0.25">
      <c r="A69" s="2" t="str">
        <f t="shared" si="12"/>
        <v>E068</v>
      </c>
      <c r="B69" s="2" t="s">
        <v>106</v>
      </c>
      <c r="C69" s="2" t="str">
        <f t="shared" ca="1" si="13"/>
        <v>Nov</v>
      </c>
      <c r="D69" s="2" t="str">
        <f t="shared" ca="1" si="14"/>
        <v>South</v>
      </c>
      <c r="E69" s="2" t="str">
        <f t="shared" ca="1" si="15"/>
        <v>Punjab</v>
      </c>
      <c r="F69" s="2" t="str">
        <f t="shared" ca="1" si="16"/>
        <v>Customer Support</v>
      </c>
      <c r="G69" s="2" t="str">
        <f t="shared" ca="1" si="17"/>
        <v>Supervisor</v>
      </c>
      <c r="H69" s="2" t="str">
        <f t="shared" ca="1" si="18"/>
        <v>Shoes</v>
      </c>
      <c r="I69" s="2">
        <f t="shared" ca="1" si="19"/>
        <v>68</v>
      </c>
      <c r="J69" s="2">
        <f t="shared" ca="1" si="20"/>
        <v>52496</v>
      </c>
      <c r="K69" s="2">
        <f t="shared" ca="1" si="21"/>
        <v>2099.84</v>
      </c>
      <c r="L69" s="2">
        <f t="shared" ca="1" si="22"/>
        <v>17235</v>
      </c>
      <c r="M69" s="2" t="str">
        <f t="shared" ca="1" si="23"/>
        <v>Yes</v>
      </c>
    </row>
    <row r="70" spans="1:13" x14ac:dyDescent="0.25">
      <c r="A70" s="2" t="str">
        <f t="shared" si="12"/>
        <v>E069</v>
      </c>
      <c r="B70" s="2" t="s">
        <v>107</v>
      </c>
      <c r="C70" s="2" t="str">
        <f t="shared" ca="1" si="13"/>
        <v>May</v>
      </c>
      <c r="D70" s="2" t="str">
        <f t="shared" ca="1" si="14"/>
        <v>West</v>
      </c>
      <c r="E70" s="2" t="str">
        <f t="shared" ca="1" si="15"/>
        <v>Tamil Nadu</v>
      </c>
      <c r="F70" s="2" t="str">
        <f t="shared" ca="1" si="16"/>
        <v>Customer Support</v>
      </c>
      <c r="G70" s="2" t="str">
        <f t="shared" ca="1" si="17"/>
        <v>Supervisor</v>
      </c>
      <c r="H70" s="2" t="str">
        <f t="shared" ca="1" si="18"/>
        <v>Electronics</v>
      </c>
      <c r="I70" s="2">
        <f t="shared" ca="1" si="19"/>
        <v>45</v>
      </c>
      <c r="J70" s="2">
        <f t="shared" ca="1" si="20"/>
        <v>37125</v>
      </c>
      <c r="K70" s="2">
        <f t="shared" ca="1" si="21"/>
        <v>371.25</v>
      </c>
      <c r="L70" s="2">
        <f t="shared" ca="1" si="22"/>
        <v>25570</v>
      </c>
      <c r="M70" s="2" t="str">
        <f t="shared" ca="1" si="23"/>
        <v>Yes</v>
      </c>
    </row>
    <row r="71" spans="1:13" x14ac:dyDescent="0.25">
      <c r="A71" s="2" t="str">
        <f t="shared" si="12"/>
        <v>E070</v>
      </c>
      <c r="B71" s="2" t="s">
        <v>108</v>
      </c>
      <c r="C71" s="2" t="str">
        <f t="shared" ca="1" si="13"/>
        <v>Apr</v>
      </c>
      <c r="D71" s="2" t="str">
        <f t="shared" ca="1" si="14"/>
        <v>North</v>
      </c>
      <c r="E71" s="2" t="str">
        <f t="shared" ca="1" si="15"/>
        <v>West Bengal</v>
      </c>
      <c r="F71" s="2" t="str">
        <f t="shared" ca="1" si="16"/>
        <v>Marketing</v>
      </c>
      <c r="G71" s="2" t="str">
        <f t="shared" ca="1" si="17"/>
        <v>Analyst</v>
      </c>
      <c r="H71" s="2" t="str">
        <f t="shared" ca="1" si="18"/>
        <v>Electronics</v>
      </c>
      <c r="I71" s="2">
        <f t="shared" ca="1" si="19"/>
        <v>20</v>
      </c>
      <c r="J71" s="2">
        <f t="shared" ca="1" si="20"/>
        <v>14400</v>
      </c>
      <c r="K71" s="2">
        <f t="shared" ca="1" si="21"/>
        <v>1296</v>
      </c>
      <c r="L71" s="2">
        <f t="shared" ca="1" si="22"/>
        <v>44806</v>
      </c>
      <c r="M71" s="2" t="str">
        <f t="shared" ca="1" si="23"/>
        <v>No</v>
      </c>
    </row>
    <row r="72" spans="1:13" x14ac:dyDescent="0.25">
      <c r="A72" s="2" t="str">
        <f t="shared" si="12"/>
        <v>E071</v>
      </c>
      <c r="B72" s="2" t="s">
        <v>109</v>
      </c>
      <c r="C72" s="2" t="str">
        <f t="shared" ca="1" si="13"/>
        <v>Feb</v>
      </c>
      <c r="D72" s="2" t="str">
        <f t="shared" ca="1" si="14"/>
        <v>East</v>
      </c>
      <c r="E72" s="2" t="str">
        <f t="shared" ca="1" si="15"/>
        <v>Punjab</v>
      </c>
      <c r="F72" s="2" t="str">
        <f t="shared" ca="1" si="16"/>
        <v>Marketing</v>
      </c>
      <c r="G72" s="2" t="str">
        <f t="shared" ca="1" si="17"/>
        <v>Executive</v>
      </c>
      <c r="H72" s="2" t="str">
        <f t="shared" ca="1" si="18"/>
        <v>Clothing</v>
      </c>
      <c r="I72" s="2">
        <f t="shared" ca="1" si="19"/>
        <v>81</v>
      </c>
      <c r="J72" s="2">
        <f t="shared" ca="1" si="20"/>
        <v>70794</v>
      </c>
      <c r="K72" s="2">
        <f t="shared" ca="1" si="21"/>
        <v>2831.76</v>
      </c>
      <c r="L72" s="2">
        <f t="shared" ca="1" si="22"/>
        <v>35963</v>
      </c>
      <c r="M72" s="2" t="str">
        <f t="shared" ca="1" si="23"/>
        <v>Yes</v>
      </c>
    </row>
    <row r="73" spans="1:13" x14ac:dyDescent="0.25">
      <c r="A73" s="2" t="str">
        <f t="shared" si="12"/>
        <v>E072</v>
      </c>
      <c r="B73" s="2" t="s">
        <v>45</v>
      </c>
      <c r="C73" s="2" t="str">
        <f t="shared" ca="1" si="13"/>
        <v>Jan</v>
      </c>
      <c r="D73" s="2" t="str">
        <f t="shared" ca="1" si="14"/>
        <v>West</v>
      </c>
      <c r="E73" s="2" t="str">
        <f t="shared" ca="1" si="15"/>
        <v>Gujarat</v>
      </c>
      <c r="F73" s="2" t="str">
        <f t="shared" ca="1" si="16"/>
        <v>Marketing</v>
      </c>
      <c r="G73" s="2" t="str">
        <f t="shared" ca="1" si="17"/>
        <v>Supervisor</v>
      </c>
      <c r="H73" s="2" t="str">
        <f t="shared" ca="1" si="18"/>
        <v>Electronics</v>
      </c>
      <c r="I73" s="2">
        <f t="shared" ca="1" si="19"/>
        <v>5</v>
      </c>
      <c r="J73" s="2">
        <f t="shared" ca="1" si="20"/>
        <v>1215</v>
      </c>
      <c r="K73" s="2">
        <f t="shared" ca="1" si="21"/>
        <v>291.60000000000002</v>
      </c>
      <c r="L73" s="2">
        <f t="shared" ca="1" si="22"/>
        <v>36362</v>
      </c>
      <c r="M73" s="2" t="str">
        <f t="shared" ca="1" si="23"/>
        <v>No</v>
      </c>
    </row>
    <row r="74" spans="1:13" x14ac:dyDescent="0.25">
      <c r="A74" s="2" t="str">
        <f t="shared" si="12"/>
        <v>E073</v>
      </c>
      <c r="B74" s="2" t="s">
        <v>34</v>
      </c>
      <c r="C74" s="2" t="str">
        <f t="shared" ca="1" si="13"/>
        <v>Dec</v>
      </c>
      <c r="D74" s="2" t="str">
        <f t="shared" ca="1" si="14"/>
        <v>South</v>
      </c>
      <c r="E74" s="2" t="str">
        <f t="shared" ca="1" si="15"/>
        <v>Madhya Pradesh</v>
      </c>
      <c r="F74" s="2" t="str">
        <f t="shared" ca="1" si="16"/>
        <v>Finance</v>
      </c>
      <c r="G74" s="2" t="str">
        <f t="shared" ca="1" si="17"/>
        <v>Executive</v>
      </c>
      <c r="H74" s="2" t="str">
        <f t="shared" ca="1" si="18"/>
        <v>Electronics</v>
      </c>
      <c r="I74" s="2">
        <f t="shared" ca="1" si="19"/>
        <v>69</v>
      </c>
      <c r="J74" s="2">
        <f t="shared" ca="1" si="20"/>
        <v>27669</v>
      </c>
      <c r="K74" s="2">
        <f t="shared" ca="1" si="21"/>
        <v>6087.18</v>
      </c>
      <c r="L74" s="2">
        <f t="shared" ca="1" si="22"/>
        <v>33022</v>
      </c>
      <c r="M74" s="2" t="str">
        <f t="shared" ca="1" si="23"/>
        <v>No</v>
      </c>
    </row>
    <row r="75" spans="1:13" x14ac:dyDescent="0.25">
      <c r="A75" s="2" t="str">
        <f t="shared" si="12"/>
        <v>E074</v>
      </c>
      <c r="B75" s="2" t="s">
        <v>110</v>
      </c>
      <c r="C75" s="2" t="str">
        <f t="shared" ca="1" si="13"/>
        <v>Apr</v>
      </c>
      <c r="D75" s="2" t="str">
        <f t="shared" ca="1" si="14"/>
        <v>North</v>
      </c>
      <c r="E75" s="2" t="str">
        <f t="shared" ca="1" si="15"/>
        <v>Punjab</v>
      </c>
      <c r="F75" s="2" t="str">
        <f t="shared" ca="1" si="16"/>
        <v>Finance</v>
      </c>
      <c r="G75" s="2" t="str">
        <f t="shared" ca="1" si="17"/>
        <v>Specialist</v>
      </c>
      <c r="H75" s="2" t="str">
        <f t="shared" ca="1" si="18"/>
        <v>Electronics</v>
      </c>
      <c r="I75" s="2">
        <f t="shared" ca="1" si="19"/>
        <v>98</v>
      </c>
      <c r="J75" s="2">
        <f t="shared" ca="1" si="20"/>
        <v>73794</v>
      </c>
      <c r="K75" s="2">
        <f t="shared" ca="1" si="21"/>
        <v>0</v>
      </c>
      <c r="L75" s="2">
        <f t="shared" ca="1" si="22"/>
        <v>26055</v>
      </c>
      <c r="M75" s="2" t="str">
        <f t="shared" ca="1" si="23"/>
        <v>Yes</v>
      </c>
    </row>
    <row r="76" spans="1:13" x14ac:dyDescent="0.25">
      <c r="A76" s="2" t="str">
        <f t="shared" si="12"/>
        <v>E075</v>
      </c>
      <c r="B76" s="2" t="s">
        <v>111</v>
      </c>
      <c r="C76" s="2" t="str">
        <f t="shared" ca="1" si="13"/>
        <v>Sep</v>
      </c>
      <c r="D76" s="2" t="str">
        <f t="shared" ca="1" si="14"/>
        <v>East</v>
      </c>
      <c r="E76" s="2" t="str">
        <f t="shared" ca="1" si="15"/>
        <v>West Bengal</v>
      </c>
      <c r="F76" s="2" t="str">
        <f t="shared" ca="1" si="16"/>
        <v>Customer Support</v>
      </c>
      <c r="G76" s="2" t="str">
        <f t="shared" ca="1" si="17"/>
        <v>Supervisor</v>
      </c>
      <c r="H76" s="2" t="str">
        <f t="shared" ca="1" si="18"/>
        <v>Electronics</v>
      </c>
      <c r="I76" s="2">
        <f t="shared" ca="1" si="19"/>
        <v>42</v>
      </c>
      <c r="J76" s="2">
        <f t="shared" ca="1" si="20"/>
        <v>10374</v>
      </c>
      <c r="K76" s="2">
        <f t="shared" ca="1" si="21"/>
        <v>829.92</v>
      </c>
      <c r="L76" s="2">
        <f t="shared" ca="1" si="22"/>
        <v>40188</v>
      </c>
      <c r="M76" s="2" t="str">
        <f t="shared" ca="1" si="23"/>
        <v>No</v>
      </c>
    </row>
    <row r="77" spans="1:13" x14ac:dyDescent="0.25">
      <c r="A77" s="2" t="str">
        <f t="shared" si="12"/>
        <v>E076</v>
      </c>
      <c r="B77" s="2" t="s">
        <v>112</v>
      </c>
      <c r="C77" s="2" t="str">
        <f t="shared" ca="1" si="13"/>
        <v>Jun</v>
      </c>
      <c r="D77" s="2" t="str">
        <f t="shared" ca="1" si="14"/>
        <v>East</v>
      </c>
      <c r="E77" s="2" t="str">
        <f t="shared" ca="1" si="15"/>
        <v>Punjab</v>
      </c>
      <c r="F77" s="2" t="str">
        <f t="shared" ca="1" si="16"/>
        <v>HR</v>
      </c>
      <c r="G77" s="2" t="str">
        <f t="shared" ca="1" si="17"/>
        <v>Specialist</v>
      </c>
      <c r="H77" s="2" t="str">
        <f t="shared" ca="1" si="18"/>
        <v>Shoes</v>
      </c>
      <c r="I77" s="2">
        <f t="shared" ca="1" si="19"/>
        <v>64</v>
      </c>
      <c r="J77" s="2">
        <f t="shared" ca="1" si="20"/>
        <v>16512</v>
      </c>
      <c r="K77" s="2">
        <f t="shared" ca="1" si="21"/>
        <v>-1320.96</v>
      </c>
      <c r="L77" s="2">
        <f t="shared" ca="1" si="22"/>
        <v>19346</v>
      </c>
      <c r="M77" s="2" t="str">
        <f t="shared" ca="1" si="23"/>
        <v>No</v>
      </c>
    </row>
    <row r="78" spans="1:13" x14ac:dyDescent="0.25">
      <c r="A78" s="2" t="str">
        <f t="shared" si="12"/>
        <v>E077</v>
      </c>
      <c r="B78" s="2" t="s">
        <v>113</v>
      </c>
      <c r="C78" s="2" t="str">
        <f t="shared" ca="1" si="13"/>
        <v>Jun</v>
      </c>
      <c r="D78" s="2" t="str">
        <f t="shared" ca="1" si="14"/>
        <v>West</v>
      </c>
      <c r="E78" s="2" t="str">
        <f t="shared" ca="1" si="15"/>
        <v>Gujarat</v>
      </c>
      <c r="F78" s="2" t="str">
        <f t="shared" ca="1" si="16"/>
        <v>Sales</v>
      </c>
      <c r="G78" s="2" t="str">
        <f t="shared" ca="1" si="17"/>
        <v>Executive</v>
      </c>
      <c r="H78" s="2" t="str">
        <f t="shared" ca="1" si="18"/>
        <v>Shoes</v>
      </c>
      <c r="I78" s="2">
        <f t="shared" ca="1" si="19"/>
        <v>78</v>
      </c>
      <c r="J78" s="2">
        <f t="shared" ca="1" si="20"/>
        <v>66222</v>
      </c>
      <c r="K78" s="2">
        <f t="shared" ca="1" si="21"/>
        <v>12582.18</v>
      </c>
      <c r="L78" s="2">
        <f t="shared" ca="1" si="22"/>
        <v>16596</v>
      </c>
      <c r="M78" s="2" t="str">
        <f t="shared" ca="1" si="23"/>
        <v>Yes</v>
      </c>
    </row>
    <row r="79" spans="1:13" x14ac:dyDescent="0.25">
      <c r="A79" s="2" t="str">
        <f t="shared" si="12"/>
        <v>E078</v>
      </c>
      <c r="B79" s="2" t="s">
        <v>114</v>
      </c>
      <c r="C79" s="2" t="str">
        <f t="shared" ca="1" si="13"/>
        <v>Apr</v>
      </c>
      <c r="D79" s="2" t="str">
        <f t="shared" ca="1" si="14"/>
        <v>North</v>
      </c>
      <c r="E79" s="2" t="str">
        <f t="shared" ca="1" si="15"/>
        <v>West Bengal</v>
      </c>
      <c r="F79" s="2" t="str">
        <f t="shared" ca="1" si="16"/>
        <v>Sales</v>
      </c>
      <c r="G79" s="2" t="str">
        <f t="shared" ca="1" si="17"/>
        <v>Specialist</v>
      </c>
      <c r="H79" s="2" t="str">
        <f t="shared" ca="1" si="18"/>
        <v>Books</v>
      </c>
      <c r="I79" s="2">
        <f t="shared" ca="1" si="19"/>
        <v>66</v>
      </c>
      <c r="J79" s="2">
        <f t="shared" ca="1" si="20"/>
        <v>58938</v>
      </c>
      <c r="K79" s="2">
        <f t="shared" ca="1" si="21"/>
        <v>13555.74</v>
      </c>
      <c r="L79" s="2">
        <f t="shared" ca="1" si="22"/>
        <v>28457</v>
      </c>
      <c r="M79" s="2" t="str">
        <f t="shared" ca="1" si="23"/>
        <v>Yes</v>
      </c>
    </row>
    <row r="80" spans="1:13" x14ac:dyDescent="0.25">
      <c r="A80" s="2" t="str">
        <f t="shared" si="12"/>
        <v>E079</v>
      </c>
      <c r="B80" s="2" t="s">
        <v>115</v>
      </c>
      <c r="C80" s="2" t="str">
        <f t="shared" ca="1" si="13"/>
        <v>Aug</v>
      </c>
      <c r="D80" s="2" t="str">
        <f t="shared" ca="1" si="14"/>
        <v>South</v>
      </c>
      <c r="E80" s="2" t="str">
        <f t="shared" ca="1" si="15"/>
        <v>Delhi</v>
      </c>
      <c r="F80" s="2" t="str">
        <f t="shared" ca="1" si="16"/>
        <v>Finance</v>
      </c>
      <c r="G80" s="2" t="str">
        <f t="shared" ca="1" si="17"/>
        <v>Supervisor</v>
      </c>
      <c r="H80" s="2" t="str">
        <f t="shared" ca="1" si="18"/>
        <v>Clothing</v>
      </c>
      <c r="I80" s="2">
        <f t="shared" ca="1" si="19"/>
        <v>26</v>
      </c>
      <c r="J80" s="2">
        <f t="shared" ca="1" si="20"/>
        <v>19344</v>
      </c>
      <c r="K80" s="2">
        <f t="shared" ca="1" si="21"/>
        <v>1740.96</v>
      </c>
      <c r="L80" s="2">
        <f t="shared" ca="1" si="22"/>
        <v>24276</v>
      </c>
      <c r="M80" s="2" t="str">
        <f t="shared" ca="1" si="23"/>
        <v>No</v>
      </c>
    </row>
    <row r="81" spans="1:13" x14ac:dyDescent="0.25">
      <c r="A81" s="2" t="str">
        <f t="shared" si="12"/>
        <v>E080</v>
      </c>
      <c r="B81" s="2" t="s">
        <v>116</v>
      </c>
      <c r="C81" s="2" t="str">
        <f t="shared" ca="1" si="13"/>
        <v>Jul</v>
      </c>
      <c r="D81" s="2" t="str">
        <f t="shared" ca="1" si="14"/>
        <v>East</v>
      </c>
      <c r="E81" s="2" t="str">
        <f t="shared" ca="1" si="15"/>
        <v>Punjab</v>
      </c>
      <c r="F81" s="2" t="str">
        <f t="shared" ca="1" si="16"/>
        <v>Finance</v>
      </c>
      <c r="G81" s="2" t="str">
        <f t="shared" ca="1" si="17"/>
        <v>Specialist</v>
      </c>
      <c r="H81" s="2" t="str">
        <f t="shared" ca="1" si="18"/>
        <v>Electronics</v>
      </c>
      <c r="I81" s="2">
        <f t="shared" ca="1" si="19"/>
        <v>11</v>
      </c>
      <c r="J81" s="2">
        <f t="shared" ca="1" si="20"/>
        <v>5269</v>
      </c>
      <c r="K81" s="2">
        <f t="shared" ca="1" si="21"/>
        <v>-526.9</v>
      </c>
      <c r="L81" s="2">
        <f t="shared" ca="1" si="22"/>
        <v>49694</v>
      </c>
      <c r="M81" s="2" t="str">
        <f t="shared" ca="1" si="23"/>
        <v>No</v>
      </c>
    </row>
    <row r="82" spans="1:13" x14ac:dyDescent="0.25">
      <c r="A82" s="2" t="str">
        <f t="shared" si="12"/>
        <v>E081</v>
      </c>
      <c r="B82" s="2" t="s">
        <v>117</v>
      </c>
      <c r="C82" s="2" t="str">
        <f t="shared" ca="1" si="13"/>
        <v>Jul</v>
      </c>
      <c r="D82" s="2" t="str">
        <f t="shared" ca="1" si="14"/>
        <v>North</v>
      </c>
      <c r="E82" s="2" t="str">
        <f t="shared" ca="1" si="15"/>
        <v>Tamil Nadu</v>
      </c>
      <c r="F82" s="2" t="str">
        <f t="shared" ca="1" si="16"/>
        <v>HR</v>
      </c>
      <c r="G82" s="2" t="str">
        <f t="shared" ca="1" si="17"/>
        <v>Supervisor</v>
      </c>
      <c r="H82" s="2" t="str">
        <f t="shared" ca="1" si="18"/>
        <v>Shoes</v>
      </c>
      <c r="I82" s="2">
        <f t="shared" ca="1" si="19"/>
        <v>36</v>
      </c>
      <c r="J82" s="2">
        <f t="shared" ca="1" si="20"/>
        <v>13464</v>
      </c>
      <c r="K82" s="2">
        <f t="shared" ca="1" si="21"/>
        <v>0</v>
      </c>
      <c r="L82" s="2">
        <f t="shared" ca="1" si="22"/>
        <v>42036</v>
      </c>
      <c r="M82" s="2" t="str">
        <f t="shared" ca="1" si="23"/>
        <v>No</v>
      </c>
    </row>
    <row r="83" spans="1:13" x14ac:dyDescent="0.25">
      <c r="A83" s="2" t="str">
        <f t="shared" si="12"/>
        <v>E082</v>
      </c>
      <c r="B83" s="2" t="s">
        <v>118</v>
      </c>
      <c r="C83" s="2" t="str">
        <f t="shared" ca="1" si="13"/>
        <v>Jun</v>
      </c>
      <c r="D83" s="2" t="str">
        <f t="shared" ca="1" si="14"/>
        <v>East</v>
      </c>
      <c r="E83" s="2" t="str">
        <f t="shared" ca="1" si="15"/>
        <v>Tamil Nadu</v>
      </c>
      <c r="F83" s="2" t="str">
        <f t="shared" ca="1" si="16"/>
        <v>Sales</v>
      </c>
      <c r="G83" s="2" t="str">
        <f t="shared" ca="1" si="17"/>
        <v>Supervisor</v>
      </c>
      <c r="H83" s="2" t="str">
        <f t="shared" ca="1" si="18"/>
        <v>Books</v>
      </c>
      <c r="I83" s="2">
        <f t="shared" ca="1" si="19"/>
        <v>45</v>
      </c>
      <c r="J83" s="2">
        <f t="shared" ca="1" si="20"/>
        <v>27585</v>
      </c>
      <c r="K83" s="2">
        <f t="shared" ca="1" si="21"/>
        <v>7447.95</v>
      </c>
      <c r="L83" s="2">
        <f t="shared" ca="1" si="22"/>
        <v>47312</v>
      </c>
      <c r="M83" s="2" t="str">
        <f t="shared" ca="1" si="23"/>
        <v>No</v>
      </c>
    </row>
    <row r="84" spans="1:13" x14ac:dyDescent="0.25">
      <c r="A84" s="2" t="str">
        <f t="shared" si="12"/>
        <v>E083</v>
      </c>
      <c r="B84" s="2" t="s">
        <v>119</v>
      </c>
      <c r="C84" s="2" t="str">
        <f t="shared" ca="1" si="13"/>
        <v>Dec</v>
      </c>
      <c r="D84" s="2" t="str">
        <f t="shared" ca="1" si="14"/>
        <v>East</v>
      </c>
      <c r="E84" s="2" t="str">
        <f t="shared" ca="1" si="15"/>
        <v>Delhi</v>
      </c>
      <c r="F84" s="2" t="str">
        <f t="shared" ca="1" si="16"/>
        <v>Customer Support</v>
      </c>
      <c r="G84" s="2" t="str">
        <f t="shared" ca="1" si="17"/>
        <v>Specialist</v>
      </c>
      <c r="H84" s="2" t="str">
        <f t="shared" ca="1" si="18"/>
        <v>Clothing</v>
      </c>
      <c r="I84" s="2">
        <f t="shared" ca="1" si="19"/>
        <v>87</v>
      </c>
      <c r="J84" s="2">
        <f t="shared" ca="1" si="20"/>
        <v>84042</v>
      </c>
      <c r="K84" s="2">
        <f t="shared" ca="1" si="21"/>
        <v>7563.78</v>
      </c>
      <c r="L84" s="2">
        <f t="shared" ca="1" si="22"/>
        <v>42347</v>
      </c>
      <c r="M84" s="2" t="str">
        <f t="shared" ca="1" si="23"/>
        <v>Yes</v>
      </c>
    </row>
    <row r="85" spans="1:13" x14ac:dyDescent="0.25">
      <c r="A85" s="2" t="str">
        <f t="shared" si="12"/>
        <v>E084</v>
      </c>
      <c r="B85" s="2" t="s">
        <v>120</v>
      </c>
      <c r="C85" s="2" t="str">
        <f t="shared" ca="1" si="13"/>
        <v>Oct</v>
      </c>
      <c r="D85" s="2" t="str">
        <f t="shared" ca="1" si="14"/>
        <v>South</v>
      </c>
      <c r="E85" s="2" t="str">
        <f t="shared" ca="1" si="15"/>
        <v>Tamil Nadu</v>
      </c>
      <c r="F85" s="2" t="str">
        <f t="shared" ca="1" si="16"/>
        <v>Customer Support</v>
      </c>
      <c r="G85" s="2" t="str">
        <f t="shared" ca="1" si="17"/>
        <v>Analyst</v>
      </c>
      <c r="H85" s="2" t="str">
        <f t="shared" ca="1" si="18"/>
        <v>Shoes</v>
      </c>
      <c r="I85" s="2">
        <f t="shared" ca="1" si="19"/>
        <v>78</v>
      </c>
      <c r="J85" s="2">
        <f t="shared" ca="1" si="20"/>
        <v>58266</v>
      </c>
      <c r="K85" s="2">
        <f t="shared" ca="1" si="21"/>
        <v>6409.26</v>
      </c>
      <c r="L85" s="2">
        <f t="shared" ca="1" si="22"/>
        <v>38876</v>
      </c>
      <c r="M85" s="2" t="str">
        <f t="shared" ca="1" si="23"/>
        <v>Yes</v>
      </c>
    </row>
    <row r="86" spans="1:13" x14ac:dyDescent="0.25">
      <c r="A86" s="2" t="str">
        <f t="shared" si="12"/>
        <v>E085</v>
      </c>
      <c r="B86" s="2" t="s">
        <v>121</v>
      </c>
      <c r="C86" s="2" t="str">
        <f t="shared" ca="1" si="13"/>
        <v>Aug</v>
      </c>
      <c r="D86" s="2" t="str">
        <f t="shared" ca="1" si="14"/>
        <v>West</v>
      </c>
      <c r="E86" s="2" t="str">
        <f t="shared" ca="1" si="15"/>
        <v>Gujarat</v>
      </c>
      <c r="F86" s="2" t="str">
        <f t="shared" ca="1" si="16"/>
        <v>HR</v>
      </c>
      <c r="G86" s="2" t="str">
        <f t="shared" ca="1" si="17"/>
        <v>Executive</v>
      </c>
      <c r="H86" s="2" t="str">
        <f t="shared" ca="1" si="18"/>
        <v>Shoes</v>
      </c>
      <c r="I86" s="2">
        <f t="shared" ca="1" si="19"/>
        <v>55</v>
      </c>
      <c r="J86" s="2">
        <f t="shared" ca="1" si="20"/>
        <v>26785</v>
      </c>
      <c r="K86" s="2">
        <f t="shared" ca="1" si="21"/>
        <v>4017.75</v>
      </c>
      <c r="L86" s="2">
        <f t="shared" ca="1" si="22"/>
        <v>35246</v>
      </c>
      <c r="M86" s="2" t="str">
        <f t="shared" ca="1" si="23"/>
        <v>No</v>
      </c>
    </row>
    <row r="87" spans="1:13" x14ac:dyDescent="0.25">
      <c r="A87" s="2" t="str">
        <f t="shared" si="12"/>
        <v>E086</v>
      </c>
      <c r="B87" s="2" t="s">
        <v>122</v>
      </c>
      <c r="C87" s="2" t="str">
        <f t="shared" ca="1" si="13"/>
        <v>Jan</v>
      </c>
      <c r="D87" s="2" t="str">
        <f t="shared" ca="1" si="14"/>
        <v>North</v>
      </c>
      <c r="E87" s="2" t="str">
        <f t="shared" ca="1" si="15"/>
        <v>Punjab</v>
      </c>
      <c r="F87" s="2" t="str">
        <f t="shared" ca="1" si="16"/>
        <v>Finance</v>
      </c>
      <c r="G87" s="2" t="str">
        <f t="shared" ca="1" si="17"/>
        <v>Executive</v>
      </c>
      <c r="H87" s="2" t="str">
        <f t="shared" ca="1" si="18"/>
        <v>Electronics</v>
      </c>
      <c r="I87" s="2">
        <f t="shared" ca="1" si="19"/>
        <v>58</v>
      </c>
      <c r="J87" s="2">
        <f t="shared" ca="1" si="20"/>
        <v>51678</v>
      </c>
      <c r="K87" s="2">
        <f t="shared" ca="1" si="21"/>
        <v>1550.34</v>
      </c>
      <c r="L87" s="2">
        <f t="shared" ca="1" si="22"/>
        <v>37819</v>
      </c>
      <c r="M87" s="2" t="str">
        <f t="shared" ca="1" si="23"/>
        <v>Yes</v>
      </c>
    </row>
    <row r="88" spans="1:13" x14ac:dyDescent="0.25">
      <c r="A88" s="2" t="str">
        <f t="shared" si="12"/>
        <v>E087</v>
      </c>
      <c r="B88" s="2" t="s">
        <v>123</v>
      </c>
      <c r="C88" s="2" t="str">
        <f t="shared" ca="1" si="13"/>
        <v>Aug</v>
      </c>
      <c r="D88" s="2" t="str">
        <f t="shared" ca="1" si="14"/>
        <v>North</v>
      </c>
      <c r="E88" s="2" t="str">
        <f t="shared" ca="1" si="15"/>
        <v>West Bengal</v>
      </c>
      <c r="F88" s="2" t="str">
        <f t="shared" ca="1" si="16"/>
        <v>Marketing</v>
      </c>
      <c r="G88" s="2" t="str">
        <f t="shared" ca="1" si="17"/>
        <v>Supervisor</v>
      </c>
      <c r="H88" s="2" t="str">
        <f t="shared" ca="1" si="18"/>
        <v>Electronics</v>
      </c>
      <c r="I88" s="2">
        <f t="shared" ca="1" si="19"/>
        <v>67</v>
      </c>
      <c r="J88" s="2">
        <f t="shared" ca="1" si="20"/>
        <v>24790</v>
      </c>
      <c r="K88" s="2">
        <f t="shared" ca="1" si="21"/>
        <v>4462.2</v>
      </c>
      <c r="L88" s="2">
        <f t="shared" ca="1" si="22"/>
        <v>39105</v>
      </c>
      <c r="M88" s="2" t="str">
        <f t="shared" ca="1" si="23"/>
        <v>No</v>
      </c>
    </row>
    <row r="89" spans="1:13" x14ac:dyDescent="0.25">
      <c r="A89" s="2" t="str">
        <f t="shared" si="12"/>
        <v>E088</v>
      </c>
      <c r="B89" s="2" t="s">
        <v>31</v>
      </c>
      <c r="C89" s="2" t="str">
        <f t="shared" ca="1" si="13"/>
        <v>Dec</v>
      </c>
      <c r="D89" s="2" t="str">
        <f t="shared" ca="1" si="14"/>
        <v>North</v>
      </c>
      <c r="E89" s="2" t="str">
        <f t="shared" ca="1" si="15"/>
        <v>Delhi</v>
      </c>
      <c r="F89" s="2" t="str">
        <f t="shared" ca="1" si="16"/>
        <v>Operations</v>
      </c>
      <c r="G89" s="2" t="str">
        <f t="shared" ca="1" si="17"/>
        <v>Specialist</v>
      </c>
      <c r="H89" s="2" t="str">
        <f t="shared" ca="1" si="18"/>
        <v>Shoes</v>
      </c>
      <c r="I89" s="2">
        <f t="shared" ca="1" si="19"/>
        <v>5</v>
      </c>
      <c r="J89" s="2">
        <f t="shared" ca="1" si="20"/>
        <v>4875</v>
      </c>
      <c r="K89" s="2">
        <f t="shared" ca="1" si="21"/>
        <v>1316.25</v>
      </c>
      <c r="L89" s="2">
        <f t="shared" ca="1" si="22"/>
        <v>31437</v>
      </c>
      <c r="M89" s="2" t="str">
        <f t="shared" ca="1" si="23"/>
        <v>No</v>
      </c>
    </row>
    <row r="90" spans="1:13" x14ac:dyDescent="0.25">
      <c r="A90" s="2" t="str">
        <f t="shared" si="12"/>
        <v>E089</v>
      </c>
      <c r="B90" s="2" t="s">
        <v>124</v>
      </c>
      <c r="C90" s="2" t="str">
        <f t="shared" ca="1" si="13"/>
        <v>Sep</v>
      </c>
      <c r="D90" s="2" t="str">
        <f t="shared" ca="1" si="14"/>
        <v>West</v>
      </c>
      <c r="E90" s="2" t="str">
        <f t="shared" ca="1" si="15"/>
        <v>Gujarat</v>
      </c>
      <c r="F90" s="2" t="str">
        <f t="shared" ca="1" si="16"/>
        <v>Operations</v>
      </c>
      <c r="G90" s="2" t="str">
        <f t="shared" ca="1" si="17"/>
        <v>Analyst</v>
      </c>
      <c r="H90" s="2" t="str">
        <f t="shared" ca="1" si="18"/>
        <v>Shoes</v>
      </c>
      <c r="I90" s="2">
        <f t="shared" ca="1" si="19"/>
        <v>32</v>
      </c>
      <c r="J90" s="2">
        <f t="shared" ca="1" si="20"/>
        <v>26624</v>
      </c>
      <c r="K90" s="2">
        <f t="shared" ca="1" si="21"/>
        <v>3461.12</v>
      </c>
      <c r="L90" s="2">
        <f t="shared" ca="1" si="22"/>
        <v>10539</v>
      </c>
      <c r="M90" s="2" t="str">
        <f t="shared" ca="1" si="23"/>
        <v>Yes</v>
      </c>
    </row>
    <row r="91" spans="1:13" x14ac:dyDescent="0.25">
      <c r="A91" s="2" t="str">
        <f t="shared" si="12"/>
        <v>E090</v>
      </c>
      <c r="B91" s="2" t="s">
        <v>125</v>
      </c>
      <c r="C91" s="2" t="str">
        <f t="shared" ca="1" si="13"/>
        <v>Jul</v>
      </c>
      <c r="D91" s="2" t="str">
        <f t="shared" ca="1" si="14"/>
        <v>East</v>
      </c>
      <c r="E91" s="2" t="str">
        <f t="shared" ca="1" si="15"/>
        <v>Delhi</v>
      </c>
      <c r="F91" s="2" t="str">
        <f t="shared" ca="1" si="16"/>
        <v>Operations</v>
      </c>
      <c r="G91" s="2" t="str">
        <f t="shared" ca="1" si="17"/>
        <v>Specialist</v>
      </c>
      <c r="H91" s="2" t="str">
        <f t="shared" ca="1" si="18"/>
        <v>Clothing</v>
      </c>
      <c r="I91" s="2">
        <f t="shared" ca="1" si="19"/>
        <v>75</v>
      </c>
      <c r="J91" s="2">
        <f t="shared" ca="1" si="20"/>
        <v>64725</v>
      </c>
      <c r="K91" s="2">
        <f t="shared" ca="1" si="21"/>
        <v>17475.75</v>
      </c>
      <c r="L91" s="2">
        <f t="shared" ca="1" si="22"/>
        <v>19666</v>
      </c>
      <c r="M91" s="2" t="str">
        <f t="shared" ca="1" si="23"/>
        <v>Yes</v>
      </c>
    </row>
    <row r="92" spans="1:13" x14ac:dyDescent="0.25">
      <c r="A92" s="2" t="str">
        <f t="shared" si="12"/>
        <v>E091</v>
      </c>
      <c r="B92" s="2" t="s">
        <v>126</v>
      </c>
      <c r="C92" s="2" t="str">
        <f t="shared" ca="1" si="13"/>
        <v>Jul</v>
      </c>
      <c r="D92" s="2" t="str">
        <f t="shared" ca="1" si="14"/>
        <v>South</v>
      </c>
      <c r="E92" s="2" t="str">
        <f t="shared" ca="1" si="15"/>
        <v>Delhi</v>
      </c>
      <c r="F92" s="2" t="str">
        <f t="shared" ca="1" si="16"/>
        <v>HR</v>
      </c>
      <c r="G92" s="2" t="str">
        <f t="shared" ca="1" si="17"/>
        <v>Supervisor</v>
      </c>
      <c r="H92" s="2" t="str">
        <f t="shared" ca="1" si="18"/>
        <v>Shoes</v>
      </c>
      <c r="I92" s="2">
        <f t="shared" ca="1" si="19"/>
        <v>75</v>
      </c>
      <c r="J92" s="2">
        <f t="shared" ca="1" si="20"/>
        <v>37800</v>
      </c>
      <c r="K92" s="2">
        <f t="shared" ca="1" si="21"/>
        <v>8316</v>
      </c>
      <c r="L92" s="2">
        <f t="shared" ca="1" si="22"/>
        <v>27079</v>
      </c>
      <c r="M92" s="2" t="str">
        <f t="shared" ca="1" si="23"/>
        <v>Yes</v>
      </c>
    </row>
    <row r="93" spans="1:13" x14ac:dyDescent="0.25">
      <c r="A93" s="2" t="str">
        <f t="shared" si="12"/>
        <v>E092</v>
      </c>
      <c r="B93" s="2" t="s">
        <v>37</v>
      </c>
      <c r="C93" s="2" t="str">
        <f t="shared" ca="1" si="13"/>
        <v>Feb</v>
      </c>
      <c r="D93" s="2" t="str">
        <f t="shared" ca="1" si="14"/>
        <v>West</v>
      </c>
      <c r="E93" s="2" t="str">
        <f t="shared" ca="1" si="15"/>
        <v>Tamil Nadu</v>
      </c>
      <c r="F93" s="2" t="str">
        <f t="shared" ca="1" si="16"/>
        <v>Finance</v>
      </c>
      <c r="G93" s="2" t="str">
        <f t="shared" ca="1" si="17"/>
        <v>Executive</v>
      </c>
      <c r="H93" s="2" t="str">
        <f t="shared" ca="1" si="18"/>
        <v>Shoes</v>
      </c>
      <c r="I93" s="2">
        <f t="shared" ca="1" si="19"/>
        <v>39</v>
      </c>
      <c r="J93" s="2">
        <f t="shared" ca="1" si="20"/>
        <v>30615</v>
      </c>
      <c r="K93" s="2">
        <f t="shared" ca="1" si="21"/>
        <v>-2755.35</v>
      </c>
      <c r="L93" s="2">
        <f t="shared" ca="1" si="22"/>
        <v>22290</v>
      </c>
      <c r="M93" s="2" t="str">
        <f t="shared" ca="1" si="23"/>
        <v>Yes</v>
      </c>
    </row>
    <row r="94" spans="1:13" x14ac:dyDescent="0.25">
      <c r="A94" s="2" t="str">
        <f t="shared" si="12"/>
        <v>E093</v>
      </c>
      <c r="B94" s="2" t="s">
        <v>127</v>
      </c>
      <c r="C94" s="2" t="str">
        <f t="shared" ca="1" si="13"/>
        <v>Feb</v>
      </c>
      <c r="D94" s="2" t="str">
        <f t="shared" ca="1" si="14"/>
        <v>North</v>
      </c>
      <c r="E94" s="2" t="str">
        <f t="shared" ca="1" si="15"/>
        <v>Punjab</v>
      </c>
      <c r="F94" s="2" t="str">
        <f t="shared" ca="1" si="16"/>
        <v>Operations</v>
      </c>
      <c r="G94" s="2" t="str">
        <f t="shared" ca="1" si="17"/>
        <v>Specialist</v>
      </c>
      <c r="H94" s="2" t="str">
        <f t="shared" ca="1" si="18"/>
        <v>Clothing</v>
      </c>
      <c r="I94" s="2">
        <f t="shared" ca="1" si="19"/>
        <v>11</v>
      </c>
      <c r="J94" s="2">
        <f t="shared" ca="1" si="20"/>
        <v>2585</v>
      </c>
      <c r="K94" s="2">
        <f t="shared" ca="1" si="21"/>
        <v>-258.5</v>
      </c>
      <c r="L94" s="2">
        <f t="shared" ca="1" si="22"/>
        <v>39907</v>
      </c>
      <c r="M94" s="2" t="str">
        <f t="shared" ca="1" si="23"/>
        <v>No</v>
      </c>
    </row>
    <row r="95" spans="1:13" x14ac:dyDescent="0.25">
      <c r="A95" s="2" t="str">
        <f t="shared" si="12"/>
        <v>E094</v>
      </c>
      <c r="B95" s="2" t="s">
        <v>128</v>
      </c>
      <c r="C95" s="2" t="str">
        <f t="shared" ca="1" si="13"/>
        <v>May</v>
      </c>
      <c r="D95" s="2" t="str">
        <f t="shared" ca="1" si="14"/>
        <v>North</v>
      </c>
      <c r="E95" s="2" t="str">
        <f t="shared" ca="1" si="15"/>
        <v>West Bengal</v>
      </c>
      <c r="F95" s="2" t="str">
        <f t="shared" ca="1" si="16"/>
        <v>HR</v>
      </c>
      <c r="G95" s="2" t="str">
        <f t="shared" ca="1" si="17"/>
        <v>Specialist</v>
      </c>
      <c r="H95" s="2" t="str">
        <f t="shared" ca="1" si="18"/>
        <v>Books</v>
      </c>
      <c r="I95" s="2">
        <f t="shared" ca="1" si="19"/>
        <v>84</v>
      </c>
      <c r="J95" s="2">
        <f t="shared" ca="1" si="20"/>
        <v>76272</v>
      </c>
      <c r="K95" s="2">
        <f t="shared" ca="1" si="21"/>
        <v>18305.28</v>
      </c>
      <c r="L95" s="2">
        <f t="shared" ca="1" si="22"/>
        <v>40041</v>
      </c>
      <c r="M95" s="2" t="str">
        <f t="shared" ca="1" si="23"/>
        <v>Yes</v>
      </c>
    </row>
    <row r="96" spans="1:13" x14ac:dyDescent="0.25">
      <c r="A96" s="2" t="str">
        <f t="shared" si="12"/>
        <v>E095</v>
      </c>
      <c r="B96" s="2" t="s">
        <v>129</v>
      </c>
      <c r="C96" s="2" t="str">
        <f t="shared" ca="1" si="13"/>
        <v>Jun</v>
      </c>
      <c r="D96" s="2" t="str">
        <f t="shared" ca="1" si="14"/>
        <v>West</v>
      </c>
      <c r="E96" s="2" t="str">
        <f t="shared" ca="1" si="15"/>
        <v>Tamil Nadu</v>
      </c>
      <c r="F96" s="2" t="str">
        <f t="shared" ca="1" si="16"/>
        <v>Sales</v>
      </c>
      <c r="G96" s="2" t="str">
        <f t="shared" ca="1" si="17"/>
        <v>Supervisor</v>
      </c>
      <c r="H96" s="2" t="str">
        <f t="shared" ca="1" si="18"/>
        <v>Shoes</v>
      </c>
      <c r="I96" s="2">
        <f t="shared" ca="1" si="19"/>
        <v>87</v>
      </c>
      <c r="J96" s="2">
        <f t="shared" ca="1" si="20"/>
        <v>67164</v>
      </c>
      <c r="K96" s="2">
        <f t="shared" ca="1" si="21"/>
        <v>16119.36</v>
      </c>
      <c r="L96" s="2">
        <f t="shared" ca="1" si="22"/>
        <v>39561</v>
      </c>
      <c r="M96" s="2" t="str">
        <f t="shared" ca="1" si="23"/>
        <v>Yes</v>
      </c>
    </row>
    <row r="97" spans="1:13" x14ac:dyDescent="0.25">
      <c r="A97" s="2" t="str">
        <f t="shared" si="12"/>
        <v>E096</v>
      </c>
      <c r="B97" s="2" t="s">
        <v>130</v>
      </c>
      <c r="C97" s="2" t="str">
        <f t="shared" ca="1" si="13"/>
        <v>Feb</v>
      </c>
      <c r="D97" s="2" t="str">
        <f t="shared" ca="1" si="14"/>
        <v>East</v>
      </c>
      <c r="E97" s="2" t="str">
        <f t="shared" ca="1" si="15"/>
        <v>West Bengal</v>
      </c>
      <c r="F97" s="2" t="str">
        <f t="shared" ca="1" si="16"/>
        <v>Marketing</v>
      </c>
      <c r="G97" s="2" t="str">
        <f t="shared" ca="1" si="17"/>
        <v>Analyst</v>
      </c>
      <c r="H97" s="2" t="str">
        <f t="shared" ca="1" si="18"/>
        <v>Electronics</v>
      </c>
      <c r="I97" s="2">
        <f t="shared" ca="1" si="19"/>
        <v>64</v>
      </c>
      <c r="J97" s="2">
        <f t="shared" ca="1" si="20"/>
        <v>49408</v>
      </c>
      <c r="K97" s="2">
        <f t="shared" ca="1" si="21"/>
        <v>988.16</v>
      </c>
      <c r="L97" s="2">
        <f t="shared" ca="1" si="22"/>
        <v>20004</v>
      </c>
      <c r="M97" s="2" t="str">
        <f t="shared" ca="1" si="23"/>
        <v>Yes</v>
      </c>
    </row>
    <row r="98" spans="1:13" x14ac:dyDescent="0.25">
      <c r="A98" s="2" t="str">
        <f t="shared" si="12"/>
        <v>E097</v>
      </c>
      <c r="B98" s="2" t="s">
        <v>131</v>
      </c>
      <c r="C98" s="2" t="str">
        <f t="shared" ca="1" si="13"/>
        <v>Sep</v>
      </c>
      <c r="D98" s="2" t="str">
        <f t="shared" ca="1" si="14"/>
        <v>West</v>
      </c>
      <c r="E98" s="2" t="str">
        <f t="shared" ca="1" si="15"/>
        <v>West Bengal</v>
      </c>
      <c r="F98" s="2" t="str">
        <f t="shared" ca="1" si="16"/>
        <v>Sales</v>
      </c>
      <c r="G98" s="2" t="str">
        <f t="shared" ca="1" si="17"/>
        <v>Executive</v>
      </c>
      <c r="H98" s="2" t="str">
        <f t="shared" ca="1" si="18"/>
        <v>Electronics</v>
      </c>
      <c r="I98" s="2">
        <f t="shared" ca="1" si="19"/>
        <v>70</v>
      </c>
      <c r="J98" s="2">
        <f t="shared" ca="1" si="20"/>
        <v>55930</v>
      </c>
      <c r="K98" s="2">
        <f t="shared" ca="1" si="21"/>
        <v>11186</v>
      </c>
      <c r="L98" s="2">
        <f t="shared" ca="1" si="22"/>
        <v>40573</v>
      </c>
      <c r="M98" s="2" t="str">
        <f t="shared" ca="1" si="23"/>
        <v>Yes</v>
      </c>
    </row>
    <row r="99" spans="1:13" x14ac:dyDescent="0.25">
      <c r="A99" s="2" t="str">
        <f t="shared" si="12"/>
        <v>E098</v>
      </c>
      <c r="B99" s="2" t="s">
        <v>132</v>
      </c>
      <c r="C99" s="2" t="str">
        <f t="shared" ca="1" si="13"/>
        <v>Aug</v>
      </c>
      <c r="D99" s="2" t="str">
        <f t="shared" ca="1" si="14"/>
        <v>East</v>
      </c>
      <c r="E99" s="2" t="str">
        <f t="shared" ca="1" si="15"/>
        <v>Punjab</v>
      </c>
      <c r="F99" s="2" t="str">
        <f t="shared" ca="1" si="16"/>
        <v>Customer Support</v>
      </c>
      <c r="G99" s="2" t="str">
        <f t="shared" ca="1" si="17"/>
        <v>Specialist</v>
      </c>
      <c r="H99" s="2" t="str">
        <f t="shared" ca="1" si="18"/>
        <v>Shoes</v>
      </c>
      <c r="I99" s="2">
        <f t="shared" ca="1" si="19"/>
        <v>13</v>
      </c>
      <c r="J99" s="2">
        <f t="shared" ca="1" si="20"/>
        <v>4407</v>
      </c>
      <c r="K99" s="2">
        <f t="shared" ca="1" si="21"/>
        <v>1057.68</v>
      </c>
      <c r="L99" s="2">
        <f t="shared" ca="1" si="22"/>
        <v>28002</v>
      </c>
      <c r="M99" s="2" t="str">
        <f t="shared" ca="1" si="23"/>
        <v>No</v>
      </c>
    </row>
    <row r="100" spans="1:13" x14ac:dyDescent="0.25">
      <c r="A100" s="2" t="str">
        <f t="shared" si="12"/>
        <v>E099</v>
      </c>
      <c r="B100" s="2" t="s">
        <v>133</v>
      </c>
      <c r="C100" s="2" t="str">
        <f t="shared" ca="1" si="13"/>
        <v>Sep</v>
      </c>
      <c r="D100" s="2" t="str">
        <f t="shared" ca="1" si="14"/>
        <v>North</v>
      </c>
      <c r="E100" s="2" t="str">
        <f t="shared" ca="1" si="15"/>
        <v>West Bengal</v>
      </c>
      <c r="F100" s="2" t="str">
        <f t="shared" ca="1" si="16"/>
        <v>Customer Support</v>
      </c>
      <c r="G100" s="2" t="str">
        <f t="shared" ca="1" si="17"/>
        <v>Specialist</v>
      </c>
      <c r="H100" s="2" t="str">
        <f t="shared" ca="1" si="18"/>
        <v>Clothing</v>
      </c>
      <c r="I100" s="2">
        <f t="shared" ca="1" si="19"/>
        <v>89</v>
      </c>
      <c r="J100" s="2">
        <f t="shared" ca="1" si="20"/>
        <v>45123</v>
      </c>
      <c r="K100" s="2">
        <f t="shared" ca="1" si="21"/>
        <v>-1804.92</v>
      </c>
      <c r="L100" s="2">
        <f t="shared" ca="1" si="22"/>
        <v>10815</v>
      </c>
      <c r="M100" s="2" t="str">
        <f t="shared" ca="1" si="23"/>
        <v>Yes</v>
      </c>
    </row>
    <row r="101" spans="1:13" x14ac:dyDescent="0.25">
      <c r="A101" s="2" t="str">
        <f t="shared" si="12"/>
        <v>E100</v>
      </c>
      <c r="B101" s="2" t="s">
        <v>134</v>
      </c>
      <c r="C101" s="2" t="str">
        <f t="shared" ca="1" si="13"/>
        <v>Dec</v>
      </c>
      <c r="D101" s="2" t="str">
        <f t="shared" ca="1" si="14"/>
        <v>East</v>
      </c>
      <c r="E101" s="2" t="str">
        <f t="shared" ca="1" si="15"/>
        <v>Punjab</v>
      </c>
      <c r="F101" s="2" t="str">
        <f t="shared" ca="1" si="16"/>
        <v>Sales</v>
      </c>
      <c r="G101" s="2" t="str">
        <f t="shared" ca="1" si="17"/>
        <v>Supervisor</v>
      </c>
      <c r="H101" s="2" t="str">
        <f t="shared" ca="1" si="18"/>
        <v>Electronics</v>
      </c>
      <c r="I101" s="2">
        <f t="shared" ca="1" si="19"/>
        <v>75</v>
      </c>
      <c r="J101" s="2">
        <f t="shared" ca="1" si="20"/>
        <v>50925</v>
      </c>
      <c r="K101" s="2">
        <f t="shared" ca="1" si="21"/>
        <v>9675.75</v>
      </c>
      <c r="L101" s="2">
        <f t="shared" ca="1" si="22"/>
        <v>21373</v>
      </c>
      <c r="M101" s="2" t="str">
        <f t="shared" ca="1" si="23"/>
        <v>Yes</v>
      </c>
    </row>
    <row r="102" spans="1:13" x14ac:dyDescent="0.25">
      <c r="A102" s="2" t="str">
        <f t="shared" si="12"/>
        <v>E101</v>
      </c>
      <c r="B102" s="2" t="s">
        <v>135</v>
      </c>
      <c r="C102" s="2" t="str">
        <f t="shared" ca="1" si="13"/>
        <v>Apr</v>
      </c>
      <c r="D102" s="2" t="str">
        <f t="shared" ca="1" si="14"/>
        <v>North</v>
      </c>
      <c r="E102" s="2" t="str">
        <f t="shared" ca="1" si="15"/>
        <v>Madhya Pradesh</v>
      </c>
      <c r="F102" s="2" t="str">
        <f t="shared" ca="1" si="16"/>
        <v>Marketing</v>
      </c>
      <c r="G102" s="2" t="str">
        <f t="shared" ca="1" si="17"/>
        <v>Supervisor</v>
      </c>
      <c r="H102" s="2" t="str">
        <f t="shared" ca="1" si="18"/>
        <v>Clothing</v>
      </c>
      <c r="I102" s="2">
        <f t="shared" ca="1" si="19"/>
        <v>100</v>
      </c>
      <c r="J102" s="2">
        <f t="shared" ca="1" si="20"/>
        <v>25300</v>
      </c>
      <c r="K102" s="2">
        <f t="shared" ca="1" si="21"/>
        <v>2024</v>
      </c>
      <c r="L102" s="2">
        <f t="shared" ca="1" si="22"/>
        <v>49182</v>
      </c>
      <c r="M102" s="2" t="str">
        <f t="shared" ca="1" si="23"/>
        <v>No</v>
      </c>
    </row>
    <row r="103" spans="1:13" x14ac:dyDescent="0.25">
      <c r="A103" s="2" t="str">
        <f t="shared" si="12"/>
        <v>E102</v>
      </c>
      <c r="B103" s="2" t="s">
        <v>68</v>
      </c>
      <c r="C103" s="2" t="str">
        <f t="shared" ca="1" si="13"/>
        <v>May</v>
      </c>
      <c r="D103" s="2" t="str">
        <f t="shared" ca="1" si="14"/>
        <v>North</v>
      </c>
      <c r="E103" s="2" t="str">
        <f t="shared" ca="1" si="15"/>
        <v>Punjab</v>
      </c>
      <c r="F103" s="2" t="str">
        <f t="shared" ca="1" si="16"/>
        <v>Sales</v>
      </c>
      <c r="G103" s="2" t="str">
        <f t="shared" ca="1" si="17"/>
        <v>Specialist</v>
      </c>
      <c r="H103" s="2" t="str">
        <f t="shared" ca="1" si="18"/>
        <v>Electronics</v>
      </c>
      <c r="I103" s="2">
        <f t="shared" ca="1" si="19"/>
        <v>74</v>
      </c>
      <c r="J103" s="2">
        <f t="shared" ca="1" si="20"/>
        <v>55870</v>
      </c>
      <c r="K103" s="2">
        <f t="shared" ca="1" si="21"/>
        <v>3910.9</v>
      </c>
      <c r="L103" s="2">
        <f t="shared" ca="1" si="22"/>
        <v>42353</v>
      </c>
      <c r="M103" s="2" t="str">
        <f t="shared" ca="1" si="23"/>
        <v>Yes</v>
      </c>
    </row>
    <row r="104" spans="1:13" x14ac:dyDescent="0.25">
      <c r="A104" s="2" t="str">
        <f t="shared" si="12"/>
        <v>E103</v>
      </c>
      <c r="B104" s="2" t="s">
        <v>136</v>
      </c>
      <c r="C104" s="2" t="str">
        <f t="shared" ca="1" si="13"/>
        <v>Dec</v>
      </c>
      <c r="D104" s="2" t="str">
        <f t="shared" ca="1" si="14"/>
        <v>South</v>
      </c>
      <c r="E104" s="2" t="str">
        <f t="shared" ca="1" si="15"/>
        <v>Punjab</v>
      </c>
      <c r="F104" s="2" t="str">
        <f t="shared" ca="1" si="16"/>
        <v>Operations</v>
      </c>
      <c r="G104" s="2" t="str">
        <f t="shared" ca="1" si="17"/>
        <v>Supervisor</v>
      </c>
      <c r="H104" s="2" t="str">
        <f t="shared" ca="1" si="18"/>
        <v>Electronics</v>
      </c>
      <c r="I104" s="2">
        <f t="shared" ca="1" si="19"/>
        <v>49</v>
      </c>
      <c r="J104" s="2">
        <f t="shared" ca="1" si="20"/>
        <v>10731</v>
      </c>
      <c r="K104" s="2">
        <f t="shared" ca="1" si="21"/>
        <v>1287.72</v>
      </c>
      <c r="L104" s="2">
        <f t="shared" ca="1" si="22"/>
        <v>18414</v>
      </c>
      <c r="M104" s="2" t="str">
        <f t="shared" ca="1" si="23"/>
        <v>No</v>
      </c>
    </row>
    <row r="105" spans="1:13" x14ac:dyDescent="0.25">
      <c r="A105" s="2" t="str">
        <f t="shared" si="12"/>
        <v>E104</v>
      </c>
      <c r="B105" s="2" t="s">
        <v>137</v>
      </c>
      <c r="C105" s="2" t="str">
        <f t="shared" ca="1" si="13"/>
        <v>Jan</v>
      </c>
      <c r="D105" s="2" t="str">
        <f t="shared" ca="1" si="14"/>
        <v>West</v>
      </c>
      <c r="E105" s="2" t="str">
        <f t="shared" ca="1" si="15"/>
        <v>Punjab</v>
      </c>
      <c r="F105" s="2" t="str">
        <f t="shared" ca="1" si="16"/>
        <v>Customer Support</v>
      </c>
      <c r="G105" s="2" t="str">
        <f t="shared" ca="1" si="17"/>
        <v>Executive</v>
      </c>
      <c r="H105" s="2" t="str">
        <f t="shared" ca="1" si="18"/>
        <v>Clothing</v>
      </c>
      <c r="I105" s="2">
        <f t="shared" ca="1" si="19"/>
        <v>72</v>
      </c>
      <c r="J105" s="2">
        <f t="shared" ca="1" si="20"/>
        <v>65016</v>
      </c>
      <c r="K105" s="2">
        <f t="shared" ca="1" si="21"/>
        <v>650.16</v>
      </c>
      <c r="L105" s="2">
        <f t="shared" ca="1" si="22"/>
        <v>15417</v>
      </c>
      <c r="M105" s="2" t="str">
        <f t="shared" ca="1" si="23"/>
        <v>Yes</v>
      </c>
    </row>
    <row r="106" spans="1:13" x14ac:dyDescent="0.25">
      <c r="A106" s="2" t="str">
        <f t="shared" si="12"/>
        <v>E105</v>
      </c>
      <c r="B106" s="2" t="s">
        <v>138</v>
      </c>
      <c r="C106" s="2" t="str">
        <f t="shared" ca="1" si="13"/>
        <v>Jan</v>
      </c>
      <c r="D106" s="2" t="str">
        <f t="shared" ca="1" si="14"/>
        <v>South</v>
      </c>
      <c r="E106" s="2" t="str">
        <f t="shared" ca="1" si="15"/>
        <v>Delhi</v>
      </c>
      <c r="F106" s="2" t="str">
        <f t="shared" ca="1" si="16"/>
        <v>Operations</v>
      </c>
      <c r="G106" s="2" t="str">
        <f t="shared" ca="1" si="17"/>
        <v>Supervisor</v>
      </c>
      <c r="H106" s="2" t="str">
        <f t="shared" ca="1" si="18"/>
        <v>Books</v>
      </c>
      <c r="I106" s="2">
        <f t="shared" ca="1" si="19"/>
        <v>10</v>
      </c>
      <c r="J106" s="2">
        <f t="shared" ca="1" si="20"/>
        <v>4920</v>
      </c>
      <c r="K106" s="2">
        <f t="shared" ca="1" si="21"/>
        <v>934.8</v>
      </c>
      <c r="L106" s="2">
        <f t="shared" ca="1" si="22"/>
        <v>17787</v>
      </c>
      <c r="M106" s="2" t="str">
        <f t="shared" ca="1" si="23"/>
        <v>No</v>
      </c>
    </row>
    <row r="107" spans="1:13" x14ac:dyDescent="0.25">
      <c r="A107" s="2" t="str">
        <f t="shared" si="12"/>
        <v>E106</v>
      </c>
      <c r="B107" s="2" t="s">
        <v>139</v>
      </c>
      <c r="C107" s="2" t="str">
        <f t="shared" ca="1" si="13"/>
        <v>Aug</v>
      </c>
      <c r="D107" s="2" t="str">
        <f t="shared" ca="1" si="14"/>
        <v>East</v>
      </c>
      <c r="E107" s="2" t="str">
        <f t="shared" ca="1" si="15"/>
        <v>Delhi</v>
      </c>
      <c r="F107" s="2" t="str">
        <f t="shared" ca="1" si="16"/>
        <v>Sales</v>
      </c>
      <c r="G107" s="2" t="str">
        <f t="shared" ca="1" si="17"/>
        <v>Specialist</v>
      </c>
      <c r="H107" s="2" t="str">
        <f t="shared" ca="1" si="18"/>
        <v>Shoes</v>
      </c>
      <c r="I107" s="2">
        <f t="shared" ca="1" si="19"/>
        <v>93</v>
      </c>
      <c r="J107" s="2">
        <f t="shared" ca="1" si="20"/>
        <v>57288</v>
      </c>
      <c r="K107" s="2">
        <f t="shared" ca="1" si="21"/>
        <v>16613.52</v>
      </c>
      <c r="L107" s="2">
        <f t="shared" ca="1" si="22"/>
        <v>44428</v>
      </c>
      <c r="M107" s="2" t="str">
        <f t="shared" ca="1" si="23"/>
        <v>Yes</v>
      </c>
    </row>
    <row r="108" spans="1:13" x14ac:dyDescent="0.25">
      <c r="A108" s="2" t="str">
        <f t="shared" si="12"/>
        <v>E107</v>
      </c>
      <c r="B108" s="2" t="s">
        <v>140</v>
      </c>
      <c r="C108" s="2" t="str">
        <f t="shared" ca="1" si="13"/>
        <v>Mar</v>
      </c>
      <c r="D108" s="2" t="str">
        <f t="shared" ca="1" si="14"/>
        <v>East</v>
      </c>
      <c r="E108" s="2" t="str">
        <f t="shared" ca="1" si="15"/>
        <v>West Bengal</v>
      </c>
      <c r="F108" s="2" t="str">
        <f t="shared" ca="1" si="16"/>
        <v>Sales</v>
      </c>
      <c r="G108" s="2" t="str">
        <f t="shared" ca="1" si="17"/>
        <v>Executive</v>
      </c>
      <c r="H108" s="2" t="str">
        <f t="shared" ca="1" si="18"/>
        <v>Electronics</v>
      </c>
      <c r="I108" s="2">
        <f t="shared" ca="1" si="19"/>
        <v>42</v>
      </c>
      <c r="J108" s="2">
        <f t="shared" ca="1" si="20"/>
        <v>15372</v>
      </c>
      <c r="K108" s="2">
        <f t="shared" ca="1" si="21"/>
        <v>1998.36</v>
      </c>
      <c r="L108" s="2">
        <f t="shared" ca="1" si="22"/>
        <v>22658</v>
      </c>
      <c r="M108" s="2" t="str">
        <f t="shared" ca="1" si="23"/>
        <v>No</v>
      </c>
    </row>
    <row r="109" spans="1:13" x14ac:dyDescent="0.25">
      <c r="A109" s="2" t="str">
        <f t="shared" si="12"/>
        <v>E108</v>
      </c>
      <c r="B109" s="2" t="s">
        <v>40</v>
      </c>
      <c r="C109" s="2" t="str">
        <f t="shared" ca="1" si="13"/>
        <v>Jan</v>
      </c>
      <c r="D109" s="2" t="str">
        <f t="shared" ca="1" si="14"/>
        <v>North</v>
      </c>
      <c r="E109" s="2" t="str">
        <f t="shared" ca="1" si="15"/>
        <v>Punjab</v>
      </c>
      <c r="F109" s="2" t="str">
        <f t="shared" ca="1" si="16"/>
        <v>Marketing</v>
      </c>
      <c r="G109" s="2" t="str">
        <f t="shared" ca="1" si="17"/>
        <v>Analyst</v>
      </c>
      <c r="H109" s="2" t="str">
        <f t="shared" ca="1" si="18"/>
        <v>Electronics</v>
      </c>
      <c r="I109" s="2">
        <f t="shared" ca="1" si="19"/>
        <v>9</v>
      </c>
      <c r="J109" s="2">
        <f t="shared" ca="1" si="20"/>
        <v>8091</v>
      </c>
      <c r="K109" s="2">
        <f t="shared" ca="1" si="21"/>
        <v>566.37</v>
      </c>
      <c r="L109" s="2">
        <f t="shared" ca="1" si="22"/>
        <v>42388</v>
      </c>
      <c r="M109" s="2" t="str">
        <f t="shared" ca="1" si="23"/>
        <v>No</v>
      </c>
    </row>
    <row r="110" spans="1:13" x14ac:dyDescent="0.25">
      <c r="A110" s="2" t="str">
        <f t="shared" si="12"/>
        <v>E109</v>
      </c>
      <c r="B110" s="2" t="s">
        <v>141</v>
      </c>
      <c r="C110" s="2" t="str">
        <f t="shared" ca="1" si="13"/>
        <v>Jun</v>
      </c>
      <c r="D110" s="2" t="str">
        <f t="shared" ca="1" si="14"/>
        <v>South</v>
      </c>
      <c r="E110" s="2" t="str">
        <f t="shared" ca="1" si="15"/>
        <v>Madhya Pradesh</v>
      </c>
      <c r="F110" s="2" t="str">
        <f t="shared" ca="1" si="16"/>
        <v>Operations</v>
      </c>
      <c r="G110" s="2" t="str">
        <f t="shared" ca="1" si="17"/>
        <v>Supervisor</v>
      </c>
      <c r="H110" s="2" t="str">
        <f t="shared" ca="1" si="18"/>
        <v>Books</v>
      </c>
      <c r="I110" s="2">
        <f t="shared" ca="1" si="19"/>
        <v>93</v>
      </c>
      <c r="J110" s="2">
        <f t="shared" ca="1" si="20"/>
        <v>34224</v>
      </c>
      <c r="K110" s="2">
        <f t="shared" ca="1" si="21"/>
        <v>8213.76</v>
      </c>
      <c r="L110" s="2">
        <f t="shared" ca="1" si="22"/>
        <v>48264</v>
      </c>
      <c r="M110" s="2" t="str">
        <f t="shared" ca="1" si="23"/>
        <v>No</v>
      </c>
    </row>
    <row r="111" spans="1:13" x14ac:dyDescent="0.25">
      <c r="A111" s="2" t="str">
        <f t="shared" si="12"/>
        <v>E110</v>
      </c>
      <c r="B111" s="2" t="s">
        <v>142</v>
      </c>
      <c r="C111" s="2" t="str">
        <f t="shared" ca="1" si="13"/>
        <v>Nov</v>
      </c>
      <c r="D111" s="2" t="str">
        <f t="shared" ca="1" si="14"/>
        <v>North</v>
      </c>
      <c r="E111" s="2" t="str">
        <f t="shared" ca="1" si="15"/>
        <v>Punjab</v>
      </c>
      <c r="F111" s="2" t="str">
        <f t="shared" ca="1" si="16"/>
        <v>Marketing</v>
      </c>
      <c r="G111" s="2" t="str">
        <f t="shared" ca="1" si="17"/>
        <v>Executive</v>
      </c>
      <c r="H111" s="2" t="str">
        <f t="shared" ca="1" si="18"/>
        <v>Electronics</v>
      </c>
      <c r="I111" s="2">
        <f t="shared" ca="1" si="19"/>
        <v>69</v>
      </c>
      <c r="J111" s="2">
        <f t="shared" ca="1" si="20"/>
        <v>55959</v>
      </c>
      <c r="K111" s="2">
        <f t="shared" ca="1" si="21"/>
        <v>12310.98</v>
      </c>
      <c r="L111" s="2">
        <f t="shared" ca="1" si="22"/>
        <v>25817</v>
      </c>
      <c r="M111" s="2" t="str">
        <f t="shared" ca="1" si="23"/>
        <v>Yes</v>
      </c>
    </row>
    <row r="112" spans="1:13" x14ac:dyDescent="0.25">
      <c r="A112" s="2" t="str">
        <f t="shared" si="12"/>
        <v>E111</v>
      </c>
      <c r="B112" s="2" t="s">
        <v>143</v>
      </c>
      <c r="C112" s="2" t="str">
        <f t="shared" ca="1" si="13"/>
        <v>Dec</v>
      </c>
      <c r="D112" s="2" t="str">
        <f t="shared" ca="1" si="14"/>
        <v>West</v>
      </c>
      <c r="E112" s="2" t="str">
        <f t="shared" ca="1" si="15"/>
        <v>Delhi</v>
      </c>
      <c r="F112" s="2" t="str">
        <f t="shared" ca="1" si="16"/>
        <v>HR</v>
      </c>
      <c r="G112" s="2" t="str">
        <f t="shared" ca="1" si="17"/>
        <v>Supervisor</v>
      </c>
      <c r="H112" s="2" t="str">
        <f t="shared" ca="1" si="18"/>
        <v>Electronics</v>
      </c>
      <c r="I112" s="2">
        <f t="shared" ca="1" si="19"/>
        <v>98</v>
      </c>
      <c r="J112" s="2">
        <f t="shared" ca="1" si="20"/>
        <v>72814</v>
      </c>
      <c r="K112" s="2">
        <f t="shared" ca="1" si="21"/>
        <v>-5825.12</v>
      </c>
      <c r="L112" s="2">
        <f t="shared" ca="1" si="22"/>
        <v>13416</v>
      </c>
      <c r="M112" s="2" t="str">
        <f t="shared" ca="1" si="23"/>
        <v>Yes</v>
      </c>
    </row>
    <row r="113" spans="1:13" x14ac:dyDescent="0.25">
      <c r="A113" s="2" t="str">
        <f t="shared" si="12"/>
        <v>E112</v>
      </c>
      <c r="B113" s="2" t="s">
        <v>144</v>
      </c>
      <c r="C113" s="2" t="str">
        <f t="shared" ca="1" si="13"/>
        <v>May</v>
      </c>
      <c r="D113" s="2" t="str">
        <f t="shared" ca="1" si="14"/>
        <v>East</v>
      </c>
      <c r="E113" s="2" t="str">
        <f t="shared" ca="1" si="15"/>
        <v>Tamil Nadu</v>
      </c>
      <c r="F113" s="2" t="str">
        <f t="shared" ca="1" si="16"/>
        <v>Marketing</v>
      </c>
      <c r="G113" s="2" t="str">
        <f t="shared" ca="1" si="17"/>
        <v>Executive</v>
      </c>
      <c r="H113" s="2" t="str">
        <f t="shared" ca="1" si="18"/>
        <v>Shoes</v>
      </c>
      <c r="I113" s="2">
        <f t="shared" ca="1" si="19"/>
        <v>97</v>
      </c>
      <c r="J113" s="2">
        <f t="shared" ca="1" si="20"/>
        <v>68482</v>
      </c>
      <c r="K113" s="2">
        <f t="shared" ca="1" si="21"/>
        <v>5478.56</v>
      </c>
      <c r="L113" s="2">
        <f t="shared" ca="1" si="22"/>
        <v>15677</v>
      </c>
      <c r="M113" s="2" t="str">
        <f t="shared" ca="1" si="23"/>
        <v>Yes</v>
      </c>
    </row>
    <row r="114" spans="1:13" x14ac:dyDescent="0.25">
      <c r="A114" s="2" t="str">
        <f t="shared" si="12"/>
        <v>E113</v>
      </c>
      <c r="B114" s="2" t="s">
        <v>145</v>
      </c>
      <c r="C114" s="2" t="str">
        <f t="shared" ca="1" si="13"/>
        <v>Dec</v>
      </c>
      <c r="D114" s="2" t="str">
        <f t="shared" ca="1" si="14"/>
        <v>East</v>
      </c>
      <c r="E114" s="2" t="str">
        <f t="shared" ca="1" si="15"/>
        <v>Tamil Nadu</v>
      </c>
      <c r="F114" s="2" t="str">
        <f t="shared" ca="1" si="16"/>
        <v>Sales</v>
      </c>
      <c r="G114" s="2" t="str">
        <f t="shared" ca="1" si="17"/>
        <v>Analyst</v>
      </c>
      <c r="H114" s="2" t="str">
        <f t="shared" ca="1" si="18"/>
        <v>Electronics</v>
      </c>
      <c r="I114" s="2">
        <f t="shared" ca="1" si="19"/>
        <v>78</v>
      </c>
      <c r="J114" s="2">
        <f t="shared" ca="1" si="20"/>
        <v>72072</v>
      </c>
      <c r="K114" s="2">
        <f t="shared" ca="1" si="21"/>
        <v>19459.439999999999</v>
      </c>
      <c r="L114" s="2">
        <f t="shared" ca="1" si="22"/>
        <v>24146</v>
      </c>
      <c r="M114" s="2" t="str">
        <f t="shared" ca="1" si="23"/>
        <v>Yes</v>
      </c>
    </row>
    <row r="115" spans="1:13" x14ac:dyDescent="0.25">
      <c r="A115" s="2" t="str">
        <f t="shared" si="12"/>
        <v>E114</v>
      </c>
      <c r="B115" s="2" t="s">
        <v>146</v>
      </c>
      <c r="C115" s="2" t="str">
        <f t="shared" ca="1" si="13"/>
        <v>Jul</v>
      </c>
      <c r="D115" s="2" t="str">
        <f t="shared" ca="1" si="14"/>
        <v>East</v>
      </c>
      <c r="E115" s="2" t="str">
        <f t="shared" ca="1" si="15"/>
        <v>Punjab</v>
      </c>
      <c r="F115" s="2" t="str">
        <f t="shared" ca="1" si="16"/>
        <v>Sales</v>
      </c>
      <c r="G115" s="2" t="str">
        <f t="shared" ca="1" si="17"/>
        <v>Analyst</v>
      </c>
      <c r="H115" s="2" t="str">
        <f t="shared" ca="1" si="18"/>
        <v>Electronics</v>
      </c>
      <c r="I115" s="2">
        <f t="shared" ca="1" si="19"/>
        <v>11</v>
      </c>
      <c r="J115" s="2">
        <f t="shared" ca="1" si="20"/>
        <v>5599</v>
      </c>
      <c r="K115" s="2">
        <f t="shared" ca="1" si="21"/>
        <v>0</v>
      </c>
      <c r="L115" s="2">
        <f t="shared" ca="1" si="22"/>
        <v>42283</v>
      </c>
      <c r="M115" s="2" t="str">
        <f t="shared" ca="1" si="23"/>
        <v>No</v>
      </c>
    </row>
    <row r="116" spans="1:13" x14ac:dyDescent="0.25">
      <c r="A116" s="2" t="str">
        <f t="shared" si="12"/>
        <v>E115</v>
      </c>
      <c r="B116" s="2" t="s">
        <v>147</v>
      </c>
      <c r="C116" s="2" t="str">
        <f t="shared" ca="1" si="13"/>
        <v>May</v>
      </c>
      <c r="D116" s="2" t="str">
        <f t="shared" ca="1" si="14"/>
        <v>South</v>
      </c>
      <c r="E116" s="2" t="str">
        <f t="shared" ca="1" si="15"/>
        <v>Tamil Nadu</v>
      </c>
      <c r="F116" s="2" t="str">
        <f t="shared" ca="1" si="16"/>
        <v>Finance</v>
      </c>
      <c r="G116" s="2" t="str">
        <f t="shared" ca="1" si="17"/>
        <v>Specialist</v>
      </c>
      <c r="H116" s="2" t="str">
        <f t="shared" ca="1" si="18"/>
        <v>Books</v>
      </c>
      <c r="I116" s="2">
        <f t="shared" ca="1" si="19"/>
        <v>18</v>
      </c>
      <c r="J116" s="2">
        <f t="shared" ca="1" si="20"/>
        <v>6930</v>
      </c>
      <c r="K116" s="2">
        <f t="shared" ca="1" si="21"/>
        <v>762.3</v>
      </c>
      <c r="L116" s="2">
        <f t="shared" ca="1" si="22"/>
        <v>23906</v>
      </c>
      <c r="M116" s="2" t="str">
        <f t="shared" ca="1" si="23"/>
        <v>No</v>
      </c>
    </row>
    <row r="117" spans="1:13" x14ac:dyDescent="0.25">
      <c r="A117" s="2" t="str">
        <f t="shared" si="12"/>
        <v>E116</v>
      </c>
      <c r="B117" s="2" t="s">
        <v>148</v>
      </c>
      <c r="C117" s="2" t="str">
        <f t="shared" ca="1" si="13"/>
        <v>Dec</v>
      </c>
      <c r="D117" s="2" t="str">
        <f t="shared" ca="1" si="14"/>
        <v>North</v>
      </c>
      <c r="E117" s="2" t="str">
        <f t="shared" ca="1" si="15"/>
        <v>Madhya Pradesh</v>
      </c>
      <c r="F117" s="2" t="str">
        <f t="shared" ca="1" si="16"/>
        <v>HR</v>
      </c>
      <c r="G117" s="2" t="str">
        <f t="shared" ca="1" si="17"/>
        <v>Analyst</v>
      </c>
      <c r="H117" s="2" t="str">
        <f t="shared" ca="1" si="18"/>
        <v>Electronics</v>
      </c>
      <c r="I117" s="2">
        <f t="shared" ca="1" si="19"/>
        <v>65</v>
      </c>
      <c r="J117" s="2">
        <f t="shared" ca="1" si="20"/>
        <v>23920</v>
      </c>
      <c r="K117" s="2">
        <f t="shared" ca="1" si="21"/>
        <v>3827.2</v>
      </c>
      <c r="L117" s="2">
        <f t="shared" ca="1" si="22"/>
        <v>30758</v>
      </c>
      <c r="M117" s="2" t="str">
        <f t="shared" ca="1" si="23"/>
        <v>No</v>
      </c>
    </row>
    <row r="118" spans="1:13" x14ac:dyDescent="0.25">
      <c r="A118" s="2" t="str">
        <f t="shared" si="12"/>
        <v>E117</v>
      </c>
      <c r="B118" s="2" t="s">
        <v>149</v>
      </c>
      <c r="C118" s="2" t="str">
        <f t="shared" ca="1" si="13"/>
        <v>Dec</v>
      </c>
      <c r="D118" s="2" t="str">
        <f t="shared" ca="1" si="14"/>
        <v>North</v>
      </c>
      <c r="E118" s="2" t="str">
        <f t="shared" ca="1" si="15"/>
        <v>Punjab</v>
      </c>
      <c r="F118" s="2" t="str">
        <f t="shared" ca="1" si="16"/>
        <v>Finance</v>
      </c>
      <c r="G118" s="2" t="str">
        <f t="shared" ca="1" si="17"/>
        <v>Specialist</v>
      </c>
      <c r="H118" s="2" t="str">
        <f t="shared" ca="1" si="18"/>
        <v>Electronics</v>
      </c>
      <c r="I118" s="2">
        <f t="shared" ca="1" si="19"/>
        <v>57</v>
      </c>
      <c r="J118" s="2">
        <f t="shared" ca="1" si="20"/>
        <v>45885</v>
      </c>
      <c r="K118" s="2">
        <f t="shared" ca="1" si="21"/>
        <v>5047.3500000000004</v>
      </c>
      <c r="L118" s="2">
        <f t="shared" ca="1" si="22"/>
        <v>45600</v>
      </c>
      <c r="M118" s="2" t="str">
        <f t="shared" ca="1" si="23"/>
        <v>Yes</v>
      </c>
    </row>
    <row r="119" spans="1:13" x14ac:dyDescent="0.25">
      <c r="A119" s="2" t="str">
        <f t="shared" si="12"/>
        <v>E118</v>
      </c>
      <c r="B119" s="2" t="s">
        <v>150</v>
      </c>
      <c r="C119" s="2" t="str">
        <f t="shared" ca="1" si="13"/>
        <v>Sep</v>
      </c>
      <c r="D119" s="2" t="str">
        <f t="shared" ca="1" si="14"/>
        <v>South</v>
      </c>
      <c r="E119" s="2" t="str">
        <f t="shared" ca="1" si="15"/>
        <v>Delhi</v>
      </c>
      <c r="F119" s="2" t="str">
        <f t="shared" ca="1" si="16"/>
        <v>Finance</v>
      </c>
      <c r="G119" s="2" t="str">
        <f t="shared" ca="1" si="17"/>
        <v>Supervisor</v>
      </c>
      <c r="H119" s="2" t="str">
        <f t="shared" ca="1" si="18"/>
        <v>Books</v>
      </c>
      <c r="I119" s="2">
        <f t="shared" ca="1" si="19"/>
        <v>35</v>
      </c>
      <c r="J119" s="2">
        <f t="shared" ca="1" si="20"/>
        <v>14210</v>
      </c>
      <c r="K119" s="2">
        <f t="shared" ca="1" si="21"/>
        <v>4120.8999999999996</v>
      </c>
      <c r="L119" s="2">
        <f t="shared" ca="1" si="22"/>
        <v>49430</v>
      </c>
      <c r="M119" s="2" t="str">
        <f t="shared" ca="1" si="23"/>
        <v>No</v>
      </c>
    </row>
    <row r="120" spans="1:13" x14ac:dyDescent="0.25">
      <c r="A120" s="2" t="str">
        <f t="shared" si="12"/>
        <v>E119</v>
      </c>
      <c r="B120" s="2" t="s">
        <v>151</v>
      </c>
      <c r="C120" s="2" t="str">
        <f t="shared" ca="1" si="13"/>
        <v>Aug</v>
      </c>
      <c r="D120" s="2" t="str">
        <f t="shared" ca="1" si="14"/>
        <v>North</v>
      </c>
      <c r="E120" s="2" t="str">
        <f t="shared" ca="1" si="15"/>
        <v>Gujarat</v>
      </c>
      <c r="F120" s="2" t="str">
        <f t="shared" ca="1" si="16"/>
        <v>Operations</v>
      </c>
      <c r="G120" s="2" t="str">
        <f t="shared" ca="1" si="17"/>
        <v>Analyst</v>
      </c>
      <c r="H120" s="2" t="str">
        <f t="shared" ca="1" si="18"/>
        <v>Electronics</v>
      </c>
      <c r="I120" s="2">
        <f t="shared" ca="1" si="19"/>
        <v>21</v>
      </c>
      <c r="J120" s="2">
        <f t="shared" ca="1" si="20"/>
        <v>9198</v>
      </c>
      <c r="K120" s="2">
        <f t="shared" ca="1" si="21"/>
        <v>91.98</v>
      </c>
      <c r="L120" s="2">
        <f t="shared" ca="1" si="22"/>
        <v>36424</v>
      </c>
      <c r="M120" s="2" t="str">
        <f t="shared" ca="1" si="23"/>
        <v>No</v>
      </c>
    </row>
    <row r="121" spans="1:13" x14ac:dyDescent="0.25">
      <c r="A121" s="2" t="str">
        <f t="shared" si="12"/>
        <v>E120</v>
      </c>
      <c r="B121" s="2" t="s">
        <v>152</v>
      </c>
      <c r="C121" s="2" t="str">
        <f t="shared" ca="1" si="13"/>
        <v>Jun</v>
      </c>
      <c r="D121" s="2" t="str">
        <f t="shared" ca="1" si="14"/>
        <v>East</v>
      </c>
      <c r="E121" s="2" t="str">
        <f t="shared" ca="1" si="15"/>
        <v>Delhi</v>
      </c>
      <c r="F121" s="2" t="str">
        <f t="shared" ca="1" si="16"/>
        <v>Customer Support</v>
      </c>
      <c r="G121" s="2" t="str">
        <f t="shared" ca="1" si="17"/>
        <v>Analyst</v>
      </c>
      <c r="H121" s="2" t="str">
        <f t="shared" ca="1" si="18"/>
        <v>Books</v>
      </c>
      <c r="I121" s="2">
        <f t="shared" ca="1" si="19"/>
        <v>49</v>
      </c>
      <c r="J121" s="2">
        <f t="shared" ca="1" si="20"/>
        <v>37191</v>
      </c>
      <c r="K121" s="2">
        <f t="shared" ca="1" si="21"/>
        <v>4462.92</v>
      </c>
      <c r="L121" s="2">
        <f t="shared" ca="1" si="22"/>
        <v>40113</v>
      </c>
      <c r="M121" s="2" t="str">
        <f t="shared" ca="1" si="23"/>
        <v>No</v>
      </c>
    </row>
    <row r="122" spans="1:13" x14ac:dyDescent="0.25">
      <c r="A122" s="2" t="str">
        <f t="shared" si="12"/>
        <v>E121</v>
      </c>
      <c r="B122" s="2" t="s">
        <v>153</v>
      </c>
      <c r="C122" s="2" t="str">
        <f t="shared" ca="1" si="13"/>
        <v>Feb</v>
      </c>
      <c r="D122" s="2" t="str">
        <f t="shared" ca="1" si="14"/>
        <v>West</v>
      </c>
      <c r="E122" s="2" t="str">
        <f t="shared" ca="1" si="15"/>
        <v>Tamil Nadu</v>
      </c>
      <c r="F122" s="2" t="str">
        <f t="shared" ca="1" si="16"/>
        <v>Finance</v>
      </c>
      <c r="G122" s="2" t="str">
        <f t="shared" ca="1" si="17"/>
        <v>Specialist</v>
      </c>
      <c r="H122" s="2" t="str">
        <f t="shared" ca="1" si="18"/>
        <v>Clothing</v>
      </c>
      <c r="I122" s="2">
        <f t="shared" ca="1" si="19"/>
        <v>50</v>
      </c>
      <c r="J122" s="2">
        <f t="shared" ca="1" si="20"/>
        <v>37000</v>
      </c>
      <c r="K122" s="2">
        <f t="shared" ca="1" si="21"/>
        <v>7030</v>
      </c>
      <c r="L122" s="2">
        <f t="shared" ca="1" si="22"/>
        <v>23274</v>
      </c>
      <c r="M122" s="2" t="str">
        <f t="shared" ca="1" si="23"/>
        <v>Yes</v>
      </c>
    </row>
    <row r="123" spans="1:13" x14ac:dyDescent="0.25">
      <c r="A123" s="2" t="str">
        <f t="shared" si="12"/>
        <v>E122</v>
      </c>
      <c r="B123" s="2" t="s">
        <v>154</v>
      </c>
      <c r="C123" s="2" t="str">
        <f t="shared" ca="1" si="13"/>
        <v>Jul</v>
      </c>
      <c r="D123" s="2" t="str">
        <f t="shared" ca="1" si="14"/>
        <v>West</v>
      </c>
      <c r="E123" s="2" t="str">
        <f t="shared" ca="1" si="15"/>
        <v>Gujarat</v>
      </c>
      <c r="F123" s="2" t="str">
        <f t="shared" ca="1" si="16"/>
        <v>Customer Support</v>
      </c>
      <c r="G123" s="2" t="str">
        <f t="shared" ca="1" si="17"/>
        <v>Analyst</v>
      </c>
      <c r="H123" s="2" t="str">
        <f t="shared" ca="1" si="18"/>
        <v>Electronics</v>
      </c>
      <c r="I123" s="2">
        <f t="shared" ca="1" si="19"/>
        <v>67</v>
      </c>
      <c r="J123" s="2">
        <f t="shared" ca="1" si="20"/>
        <v>34237</v>
      </c>
      <c r="K123" s="2">
        <f t="shared" ca="1" si="21"/>
        <v>9243.99</v>
      </c>
      <c r="L123" s="2">
        <f t="shared" ca="1" si="22"/>
        <v>47427</v>
      </c>
      <c r="M123" s="2" t="str">
        <f t="shared" ca="1" si="23"/>
        <v>No</v>
      </c>
    </row>
    <row r="124" spans="1:13" x14ac:dyDescent="0.25">
      <c r="A124" s="2" t="str">
        <f t="shared" si="12"/>
        <v>E123</v>
      </c>
      <c r="B124" s="2" t="s">
        <v>155</v>
      </c>
      <c r="C124" s="2" t="str">
        <f t="shared" ca="1" si="13"/>
        <v>Jun</v>
      </c>
      <c r="D124" s="2" t="str">
        <f t="shared" ca="1" si="14"/>
        <v>South</v>
      </c>
      <c r="E124" s="2" t="str">
        <f t="shared" ca="1" si="15"/>
        <v>Delhi</v>
      </c>
      <c r="F124" s="2" t="str">
        <f t="shared" ca="1" si="16"/>
        <v>Customer Support</v>
      </c>
      <c r="G124" s="2" t="str">
        <f t="shared" ca="1" si="17"/>
        <v>Executive</v>
      </c>
      <c r="H124" s="2" t="str">
        <f t="shared" ca="1" si="18"/>
        <v>Books</v>
      </c>
      <c r="I124" s="2">
        <f t="shared" ca="1" si="19"/>
        <v>36</v>
      </c>
      <c r="J124" s="2">
        <f t="shared" ca="1" si="20"/>
        <v>31896</v>
      </c>
      <c r="K124" s="2">
        <f t="shared" ca="1" si="21"/>
        <v>7974</v>
      </c>
      <c r="L124" s="2">
        <f t="shared" ca="1" si="22"/>
        <v>34357</v>
      </c>
      <c r="M124" s="2" t="str">
        <f t="shared" ca="1" si="23"/>
        <v>No</v>
      </c>
    </row>
    <row r="125" spans="1:13" x14ac:dyDescent="0.25">
      <c r="A125" s="2" t="str">
        <f t="shared" si="12"/>
        <v>E124</v>
      </c>
      <c r="B125" s="2" t="s">
        <v>156</v>
      </c>
      <c r="C125" s="2" t="str">
        <f t="shared" ca="1" si="13"/>
        <v>Sep</v>
      </c>
      <c r="D125" s="2" t="str">
        <f t="shared" ca="1" si="14"/>
        <v>West</v>
      </c>
      <c r="E125" s="2" t="str">
        <f t="shared" ca="1" si="15"/>
        <v>Tamil Nadu</v>
      </c>
      <c r="F125" s="2" t="str">
        <f t="shared" ca="1" si="16"/>
        <v>Sales</v>
      </c>
      <c r="G125" s="2" t="str">
        <f t="shared" ca="1" si="17"/>
        <v>Analyst</v>
      </c>
      <c r="H125" s="2" t="str">
        <f t="shared" ca="1" si="18"/>
        <v>Books</v>
      </c>
      <c r="I125" s="2">
        <f t="shared" ca="1" si="19"/>
        <v>56</v>
      </c>
      <c r="J125" s="2">
        <f t="shared" ca="1" si="20"/>
        <v>41104</v>
      </c>
      <c r="K125" s="2">
        <f t="shared" ca="1" si="21"/>
        <v>10687.04</v>
      </c>
      <c r="L125" s="2">
        <f t="shared" ca="1" si="22"/>
        <v>28397</v>
      </c>
      <c r="M125" s="2" t="str">
        <f t="shared" ca="1" si="23"/>
        <v>Yes</v>
      </c>
    </row>
    <row r="126" spans="1:13" x14ac:dyDescent="0.25">
      <c r="A126" s="2" t="str">
        <f t="shared" si="12"/>
        <v>E125</v>
      </c>
      <c r="B126" s="2" t="s">
        <v>157</v>
      </c>
      <c r="C126" s="2" t="str">
        <f t="shared" ca="1" si="13"/>
        <v>Jul</v>
      </c>
      <c r="D126" s="2" t="str">
        <f t="shared" ca="1" si="14"/>
        <v>East</v>
      </c>
      <c r="E126" s="2" t="str">
        <f t="shared" ca="1" si="15"/>
        <v>Tamil Nadu</v>
      </c>
      <c r="F126" s="2" t="str">
        <f t="shared" ca="1" si="16"/>
        <v>Marketing</v>
      </c>
      <c r="G126" s="2" t="str">
        <f t="shared" ca="1" si="17"/>
        <v>Supervisor</v>
      </c>
      <c r="H126" s="2" t="str">
        <f t="shared" ca="1" si="18"/>
        <v>Shoes</v>
      </c>
      <c r="I126" s="2">
        <f t="shared" ca="1" si="19"/>
        <v>15</v>
      </c>
      <c r="J126" s="2">
        <f t="shared" ca="1" si="20"/>
        <v>4170</v>
      </c>
      <c r="K126" s="2">
        <f t="shared" ca="1" si="21"/>
        <v>375.3</v>
      </c>
      <c r="L126" s="2">
        <f t="shared" ca="1" si="22"/>
        <v>40912</v>
      </c>
      <c r="M126" s="2" t="str">
        <f t="shared" ca="1" si="23"/>
        <v>No</v>
      </c>
    </row>
    <row r="127" spans="1:13" x14ac:dyDescent="0.25">
      <c r="A127" s="2" t="str">
        <f t="shared" si="12"/>
        <v>E126</v>
      </c>
      <c r="B127" s="2" t="s">
        <v>158</v>
      </c>
      <c r="C127" s="2" t="str">
        <f t="shared" ca="1" si="13"/>
        <v>Jan</v>
      </c>
      <c r="D127" s="2" t="str">
        <f t="shared" ca="1" si="14"/>
        <v>North</v>
      </c>
      <c r="E127" s="2" t="str">
        <f t="shared" ca="1" si="15"/>
        <v>West Bengal</v>
      </c>
      <c r="F127" s="2" t="str">
        <f t="shared" ca="1" si="16"/>
        <v>HR</v>
      </c>
      <c r="G127" s="2" t="str">
        <f t="shared" ca="1" si="17"/>
        <v>Executive</v>
      </c>
      <c r="H127" s="2" t="str">
        <f t="shared" ca="1" si="18"/>
        <v>Shoes</v>
      </c>
      <c r="I127" s="2">
        <f t="shared" ca="1" si="19"/>
        <v>10</v>
      </c>
      <c r="J127" s="2">
        <f t="shared" ca="1" si="20"/>
        <v>2590</v>
      </c>
      <c r="K127" s="2">
        <f t="shared" ca="1" si="21"/>
        <v>-259</v>
      </c>
      <c r="L127" s="2">
        <f t="shared" ca="1" si="22"/>
        <v>45682</v>
      </c>
      <c r="M127" s="2" t="str">
        <f t="shared" ca="1" si="23"/>
        <v>No</v>
      </c>
    </row>
    <row r="128" spans="1:13" x14ac:dyDescent="0.25">
      <c r="A128" s="2" t="str">
        <f t="shared" si="12"/>
        <v>E127</v>
      </c>
      <c r="B128" s="2" t="s">
        <v>159</v>
      </c>
      <c r="C128" s="2" t="str">
        <f t="shared" ca="1" si="13"/>
        <v>Oct</v>
      </c>
      <c r="D128" s="2" t="str">
        <f t="shared" ca="1" si="14"/>
        <v>West</v>
      </c>
      <c r="E128" s="2" t="str">
        <f t="shared" ca="1" si="15"/>
        <v>Delhi</v>
      </c>
      <c r="F128" s="2" t="str">
        <f t="shared" ca="1" si="16"/>
        <v>Sales</v>
      </c>
      <c r="G128" s="2" t="str">
        <f t="shared" ca="1" si="17"/>
        <v>Analyst</v>
      </c>
      <c r="H128" s="2" t="str">
        <f t="shared" ca="1" si="18"/>
        <v>Electronics</v>
      </c>
      <c r="I128" s="2">
        <f t="shared" ca="1" si="19"/>
        <v>69</v>
      </c>
      <c r="J128" s="2">
        <f t="shared" ca="1" si="20"/>
        <v>31395</v>
      </c>
      <c r="K128" s="2">
        <f t="shared" ca="1" si="21"/>
        <v>-2197.65</v>
      </c>
      <c r="L128" s="2">
        <f t="shared" ca="1" si="22"/>
        <v>10653</v>
      </c>
      <c r="M128" s="2" t="str">
        <f t="shared" ca="1" si="23"/>
        <v>Yes</v>
      </c>
    </row>
    <row r="129" spans="1:13" x14ac:dyDescent="0.25">
      <c r="A129" s="2" t="str">
        <f t="shared" si="12"/>
        <v>E128</v>
      </c>
      <c r="B129" s="2" t="s">
        <v>160</v>
      </c>
      <c r="C129" s="2" t="str">
        <f t="shared" ca="1" si="13"/>
        <v>Jan</v>
      </c>
      <c r="D129" s="2" t="str">
        <f t="shared" ca="1" si="14"/>
        <v>West</v>
      </c>
      <c r="E129" s="2" t="str">
        <f t="shared" ca="1" si="15"/>
        <v>Madhya Pradesh</v>
      </c>
      <c r="F129" s="2" t="str">
        <f t="shared" ca="1" si="16"/>
        <v>Operations</v>
      </c>
      <c r="G129" s="2" t="str">
        <f t="shared" ca="1" si="17"/>
        <v>Executive</v>
      </c>
      <c r="H129" s="2" t="str">
        <f t="shared" ca="1" si="18"/>
        <v>Clothing</v>
      </c>
      <c r="I129" s="2">
        <f t="shared" ca="1" si="19"/>
        <v>41</v>
      </c>
      <c r="J129" s="2">
        <f t="shared" ca="1" si="20"/>
        <v>39442</v>
      </c>
      <c r="K129" s="2">
        <f t="shared" ca="1" si="21"/>
        <v>-394.42</v>
      </c>
      <c r="L129" s="2">
        <f t="shared" ca="1" si="22"/>
        <v>41949</v>
      </c>
      <c r="M129" s="2" t="str">
        <f t="shared" ca="1" si="23"/>
        <v>No</v>
      </c>
    </row>
    <row r="130" spans="1:13" x14ac:dyDescent="0.25">
      <c r="A130" s="2" t="str">
        <f t="shared" si="12"/>
        <v>E129</v>
      </c>
      <c r="B130" s="2" t="s">
        <v>161</v>
      </c>
      <c r="C130" s="2" t="str">
        <f t="shared" ca="1" si="13"/>
        <v>Jan</v>
      </c>
      <c r="D130" s="2" t="str">
        <f t="shared" ca="1" si="14"/>
        <v>South</v>
      </c>
      <c r="E130" s="2" t="str">
        <f t="shared" ca="1" si="15"/>
        <v>Gujarat</v>
      </c>
      <c r="F130" s="2" t="str">
        <f t="shared" ca="1" si="16"/>
        <v>Marketing</v>
      </c>
      <c r="G130" s="2" t="str">
        <f t="shared" ca="1" si="17"/>
        <v>Specialist</v>
      </c>
      <c r="H130" s="2" t="str">
        <f t="shared" ca="1" si="18"/>
        <v>Electronics</v>
      </c>
      <c r="I130" s="2">
        <f t="shared" ca="1" si="19"/>
        <v>93</v>
      </c>
      <c r="J130" s="2">
        <f t="shared" ca="1" si="20"/>
        <v>91512</v>
      </c>
      <c r="K130" s="2">
        <f t="shared" ca="1" si="21"/>
        <v>20132.64</v>
      </c>
      <c r="L130" s="2">
        <f t="shared" ca="1" si="22"/>
        <v>31853</v>
      </c>
      <c r="M130" s="2" t="str">
        <f t="shared" ca="1" si="23"/>
        <v>Yes</v>
      </c>
    </row>
    <row r="131" spans="1:13" x14ac:dyDescent="0.25">
      <c r="A131" s="2" t="str">
        <f t="shared" ref="A131:A194" si="24">"E"&amp;TEXT(ROW(A130),"000")</f>
        <v>E130</v>
      </c>
      <c r="B131" s="2" t="s">
        <v>162</v>
      </c>
      <c r="C131" s="2" t="str">
        <f t="shared" ref="C131:C194" ca="1" si="25">CHOOSE(RANDBETWEEN(1,12),"Jan","Feb","Mar","Apr","May","Jun","Jul","Aug","Sep","Oct","Nov","Dec")</f>
        <v>Dec</v>
      </c>
      <c r="D131" s="2" t="str">
        <f t="shared" ref="D131:D194" ca="1" si="26">CHOOSE(RANDBETWEEN(1,4),"North","South","East","West")</f>
        <v>South</v>
      </c>
      <c r="E131" s="2" t="str">
        <f t="shared" ref="E131:E194" ca="1" si="27">CHOOSE(RANDBETWEEN(1,6),"Punjab","Gujarat","Tamil Nadu","Madhya Pradesh","Delhi","West Bengal")</f>
        <v>Madhya Pradesh</v>
      </c>
      <c r="F131" s="2" t="str">
        <f t="shared" ref="F131:F194" ca="1" si="28">CHOOSE(RANDBETWEEN(1,6),"Sales","Marketing","Finance","Operations","HR","Customer Support")</f>
        <v>Customer Support</v>
      </c>
      <c r="G131" s="2" t="str">
        <f t="shared" ref="G131:G194" ca="1" si="29">CHOOSE(RANDBETWEEN(1,4),"Analyst","Executive","Supervisor","Specialist")</f>
        <v>Analyst</v>
      </c>
      <c r="H131" s="2" t="str">
        <f t="shared" ref="H131:H194" ca="1" si="30">CHOOSE(RANDBETWEEN(1,4),"Clothing","Shoes","Electronics","Books")</f>
        <v>Clothing</v>
      </c>
      <c r="I131" s="2">
        <f t="shared" ref="I131:I194" ca="1" si="31">RANDBETWEEN(5,100)</f>
        <v>25</v>
      </c>
      <c r="J131" s="2">
        <f t="shared" ref="J131:J194" ca="1" si="32">I131*RANDBETWEEN(200,1000)</f>
        <v>18700</v>
      </c>
      <c r="K131" s="2">
        <f t="shared" ref="K131:K194" ca="1" si="33">J131*RANDBETWEEN(-10,30)/100</f>
        <v>3553</v>
      </c>
      <c r="L131" s="2">
        <f t="shared" ref="L131:L194" ca="1" si="34">RANDBETWEEN(10000,50000)</f>
        <v>46662</v>
      </c>
      <c r="M131" s="2" t="str">
        <f t="shared" ref="M131:M194" ca="1" si="35">IF(J131&gt;=L131,"Yes","No")</f>
        <v>No</v>
      </c>
    </row>
    <row r="132" spans="1:13" x14ac:dyDescent="0.25">
      <c r="A132" s="2" t="str">
        <f t="shared" si="24"/>
        <v>E131</v>
      </c>
      <c r="B132" s="2" t="s">
        <v>163</v>
      </c>
      <c r="C132" s="2" t="str">
        <f t="shared" ca="1" si="25"/>
        <v>Oct</v>
      </c>
      <c r="D132" s="2" t="str">
        <f t="shared" ca="1" si="26"/>
        <v>West</v>
      </c>
      <c r="E132" s="2" t="str">
        <f t="shared" ca="1" si="27"/>
        <v>Punjab</v>
      </c>
      <c r="F132" s="2" t="str">
        <f t="shared" ca="1" si="28"/>
        <v>Operations</v>
      </c>
      <c r="G132" s="2" t="str">
        <f t="shared" ca="1" si="29"/>
        <v>Specialist</v>
      </c>
      <c r="H132" s="2" t="str">
        <f t="shared" ca="1" si="30"/>
        <v>Books</v>
      </c>
      <c r="I132" s="2">
        <f t="shared" ca="1" si="31"/>
        <v>43</v>
      </c>
      <c r="J132" s="2">
        <f t="shared" ca="1" si="32"/>
        <v>34314</v>
      </c>
      <c r="K132" s="2">
        <f t="shared" ca="1" si="33"/>
        <v>8921.64</v>
      </c>
      <c r="L132" s="2">
        <f t="shared" ca="1" si="34"/>
        <v>20801</v>
      </c>
      <c r="M132" s="2" t="str">
        <f t="shared" ca="1" si="35"/>
        <v>Yes</v>
      </c>
    </row>
    <row r="133" spans="1:13" x14ac:dyDescent="0.25">
      <c r="A133" s="2" t="str">
        <f t="shared" si="24"/>
        <v>E132</v>
      </c>
      <c r="B133" s="2" t="s">
        <v>164</v>
      </c>
      <c r="C133" s="2" t="str">
        <f t="shared" ca="1" si="25"/>
        <v>Sep</v>
      </c>
      <c r="D133" s="2" t="str">
        <f t="shared" ca="1" si="26"/>
        <v>North</v>
      </c>
      <c r="E133" s="2" t="str">
        <f t="shared" ca="1" si="27"/>
        <v>West Bengal</v>
      </c>
      <c r="F133" s="2" t="str">
        <f t="shared" ca="1" si="28"/>
        <v>Operations</v>
      </c>
      <c r="G133" s="2" t="str">
        <f t="shared" ca="1" si="29"/>
        <v>Executive</v>
      </c>
      <c r="H133" s="2" t="str">
        <f t="shared" ca="1" si="30"/>
        <v>Shoes</v>
      </c>
      <c r="I133" s="2">
        <f t="shared" ca="1" si="31"/>
        <v>90</v>
      </c>
      <c r="J133" s="2">
        <f t="shared" ca="1" si="32"/>
        <v>52920</v>
      </c>
      <c r="K133" s="2">
        <f t="shared" ca="1" si="33"/>
        <v>4233.6000000000004</v>
      </c>
      <c r="L133" s="2">
        <f t="shared" ca="1" si="34"/>
        <v>43772</v>
      </c>
      <c r="M133" s="2" t="str">
        <f t="shared" ca="1" si="35"/>
        <v>Yes</v>
      </c>
    </row>
    <row r="134" spans="1:13" x14ac:dyDescent="0.25">
      <c r="A134" s="2" t="str">
        <f t="shared" si="24"/>
        <v>E133</v>
      </c>
      <c r="B134" s="2" t="s">
        <v>165</v>
      </c>
      <c r="C134" s="2" t="str">
        <f t="shared" ca="1" si="25"/>
        <v>Sep</v>
      </c>
      <c r="D134" s="2" t="str">
        <f t="shared" ca="1" si="26"/>
        <v>East</v>
      </c>
      <c r="E134" s="2" t="str">
        <f t="shared" ca="1" si="27"/>
        <v>West Bengal</v>
      </c>
      <c r="F134" s="2" t="str">
        <f t="shared" ca="1" si="28"/>
        <v>Sales</v>
      </c>
      <c r="G134" s="2" t="str">
        <f t="shared" ca="1" si="29"/>
        <v>Supervisor</v>
      </c>
      <c r="H134" s="2" t="str">
        <f t="shared" ca="1" si="30"/>
        <v>Clothing</v>
      </c>
      <c r="I134" s="2">
        <f t="shared" ca="1" si="31"/>
        <v>51</v>
      </c>
      <c r="J134" s="2">
        <f t="shared" ca="1" si="32"/>
        <v>28917</v>
      </c>
      <c r="K134" s="2">
        <f t="shared" ca="1" si="33"/>
        <v>6361.74</v>
      </c>
      <c r="L134" s="2">
        <f t="shared" ca="1" si="34"/>
        <v>23566</v>
      </c>
      <c r="M134" s="2" t="str">
        <f t="shared" ca="1" si="35"/>
        <v>Yes</v>
      </c>
    </row>
    <row r="135" spans="1:13" x14ac:dyDescent="0.25">
      <c r="A135" s="2" t="str">
        <f t="shared" si="24"/>
        <v>E134</v>
      </c>
      <c r="B135" s="2" t="s">
        <v>166</v>
      </c>
      <c r="C135" s="2" t="str">
        <f t="shared" ca="1" si="25"/>
        <v>Sep</v>
      </c>
      <c r="D135" s="2" t="str">
        <f t="shared" ca="1" si="26"/>
        <v>North</v>
      </c>
      <c r="E135" s="2" t="str">
        <f t="shared" ca="1" si="27"/>
        <v>Delhi</v>
      </c>
      <c r="F135" s="2" t="str">
        <f t="shared" ca="1" si="28"/>
        <v>HR</v>
      </c>
      <c r="G135" s="2" t="str">
        <f t="shared" ca="1" si="29"/>
        <v>Executive</v>
      </c>
      <c r="H135" s="2" t="str">
        <f t="shared" ca="1" si="30"/>
        <v>Clothing</v>
      </c>
      <c r="I135" s="2">
        <f t="shared" ca="1" si="31"/>
        <v>32</v>
      </c>
      <c r="J135" s="2">
        <f t="shared" ca="1" si="32"/>
        <v>10624</v>
      </c>
      <c r="K135" s="2">
        <f t="shared" ca="1" si="33"/>
        <v>-637.44000000000005</v>
      </c>
      <c r="L135" s="2">
        <f t="shared" ca="1" si="34"/>
        <v>30950</v>
      </c>
      <c r="M135" s="2" t="str">
        <f t="shared" ca="1" si="35"/>
        <v>No</v>
      </c>
    </row>
    <row r="136" spans="1:13" x14ac:dyDescent="0.25">
      <c r="A136" s="2" t="str">
        <f t="shared" si="24"/>
        <v>E135</v>
      </c>
      <c r="B136" s="2" t="s">
        <v>167</v>
      </c>
      <c r="C136" s="2" t="str">
        <f t="shared" ca="1" si="25"/>
        <v>Nov</v>
      </c>
      <c r="D136" s="2" t="str">
        <f t="shared" ca="1" si="26"/>
        <v>South</v>
      </c>
      <c r="E136" s="2" t="str">
        <f t="shared" ca="1" si="27"/>
        <v>West Bengal</v>
      </c>
      <c r="F136" s="2" t="str">
        <f t="shared" ca="1" si="28"/>
        <v>Marketing</v>
      </c>
      <c r="G136" s="2" t="str">
        <f t="shared" ca="1" si="29"/>
        <v>Analyst</v>
      </c>
      <c r="H136" s="2" t="str">
        <f t="shared" ca="1" si="30"/>
        <v>Electronics</v>
      </c>
      <c r="I136" s="2">
        <f t="shared" ca="1" si="31"/>
        <v>30</v>
      </c>
      <c r="J136" s="2">
        <f t="shared" ca="1" si="32"/>
        <v>26580</v>
      </c>
      <c r="K136" s="2">
        <f t="shared" ca="1" si="33"/>
        <v>797.4</v>
      </c>
      <c r="L136" s="2">
        <f t="shared" ca="1" si="34"/>
        <v>15793</v>
      </c>
      <c r="M136" s="2" t="str">
        <f t="shared" ca="1" si="35"/>
        <v>Yes</v>
      </c>
    </row>
    <row r="137" spans="1:13" x14ac:dyDescent="0.25">
      <c r="A137" s="2" t="str">
        <f t="shared" si="24"/>
        <v>E136</v>
      </c>
      <c r="B137" s="2" t="s">
        <v>46</v>
      </c>
      <c r="C137" s="2" t="str">
        <f t="shared" ca="1" si="25"/>
        <v>Aug</v>
      </c>
      <c r="D137" s="2" t="str">
        <f t="shared" ca="1" si="26"/>
        <v>East</v>
      </c>
      <c r="E137" s="2" t="str">
        <f t="shared" ca="1" si="27"/>
        <v>Madhya Pradesh</v>
      </c>
      <c r="F137" s="2" t="str">
        <f t="shared" ca="1" si="28"/>
        <v>Marketing</v>
      </c>
      <c r="G137" s="2" t="str">
        <f t="shared" ca="1" si="29"/>
        <v>Executive</v>
      </c>
      <c r="H137" s="2" t="str">
        <f t="shared" ca="1" si="30"/>
        <v>Clothing</v>
      </c>
      <c r="I137" s="2">
        <f t="shared" ca="1" si="31"/>
        <v>45</v>
      </c>
      <c r="J137" s="2">
        <f t="shared" ca="1" si="32"/>
        <v>30330</v>
      </c>
      <c r="K137" s="2">
        <f t="shared" ca="1" si="33"/>
        <v>-1213.2</v>
      </c>
      <c r="L137" s="2">
        <f t="shared" ca="1" si="34"/>
        <v>33524</v>
      </c>
      <c r="M137" s="2" t="str">
        <f t="shared" ca="1" si="35"/>
        <v>No</v>
      </c>
    </row>
    <row r="138" spans="1:13" x14ac:dyDescent="0.25">
      <c r="A138" s="2" t="str">
        <f t="shared" si="24"/>
        <v>E137</v>
      </c>
      <c r="B138" s="2" t="s">
        <v>168</v>
      </c>
      <c r="C138" s="2" t="str">
        <f t="shared" ca="1" si="25"/>
        <v>Dec</v>
      </c>
      <c r="D138" s="2" t="str">
        <f t="shared" ca="1" si="26"/>
        <v>South</v>
      </c>
      <c r="E138" s="2" t="str">
        <f t="shared" ca="1" si="27"/>
        <v>Tamil Nadu</v>
      </c>
      <c r="F138" s="2" t="str">
        <f t="shared" ca="1" si="28"/>
        <v>Sales</v>
      </c>
      <c r="G138" s="2" t="str">
        <f t="shared" ca="1" si="29"/>
        <v>Executive</v>
      </c>
      <c r="H138" s="2" t="str">
        <f t="shared" ca="1" si="30"/>
        <v>Shoes</v>
      </c>
      <c r="I138" s="2">
        <f t="shared" ca="1" si="31"/>
        <v>78</v>
      </c>
      <c r="J138" s="2">
        <f t="shared" ca="1" si="32"/>
        <v>61698</v>
      </c>
      <c r="K138" s="2">
        <f t="shared" ca="1" si="33"/>
        <v>16658.46</v>
      </c>
      <c r="L138" s="2">
        <f t="shared" ca="1" si="34"/>
        <v>30291</v>
      </c>
      <c r="M138" s="2" t="str">
        <f t="shared" ca="1" si="35"/>
        <v>Yes</v>
      </c>
    </row>
    <row r="139" spans="1:13" x14ac:dyDescent="0.25">
      <c r="A139" s="2" t="str">
        <f t="shared" si="24"/>
        <v>E138</v>
      </c>
      <c r="B139" s="2" t="s">
        <v>169</v>
      </c>
      <c r="C139" s="2" t="str">
        <f t="shared" ca="1" si="25"/>
        <v>Apr</v>
      </c>
      <c r="D139" s="2" t="str">
        <f t="shared" ca="1" si="26"/>
        <v>South</v>
      </c>
      <c r="E139" s="2" t="str">
        <f t="shared" ca="1" si="27"/>
        <v>West Bengal</v>
      </c>
      <c r="F139" s="2" t="str">
        <f t="shared" ca="1" si="28"/>
        <v>HR</v>
      </c>
      <c r="G139" s="2" t="str">
        <f t="shared" ca="1" si="29"/>
        <v>Supervisor</v>
      </c>
      <c r="H139" s="2" t="str">
        <f t="shared" ca="1" si="30"/>
        <v>Shoes</v>
      </c>
      <c r="I139" s="2">
        <f t="shared" ca="1" si="31"/>
        <v>64</v>
      </c>
      <c r="J139" s="2">
        <f t="shared" ca="1" si="32"/>
        <v>13632</v>
      </c>
      <c r="K139" s="2">
        <f t="shared" ca="1" si="33"/>
        <v>681.6</v>
      </c>
      <c r="L139" s="2">
        <f t="shared" ca="1" si="34"/>
        <v>44457</v>
      </c>
      <c r="M139" s="2" t="str">
        <f t="shared" ca="1" si="35"/>
        <v>No</v>
      </c>
    </row>
    <row r="140" spans="1:13" x14ac:dyDescent="0.25">
      <c r="A140" s="2" t="str">
        <f t="shared" si="24"/>
        <v>E139</v>
      </c>
      <c r="B140" s="2" t="s">
        <v>170</v>
      </c>
      <c r="C140" s="2" t="str">
        <f t="shared" ca="1" si="25"/>
        <v>Sep</v>
      </c>
      <c r="D140" s="2" t="str">
        <f t="shared" ca="1" si="26"/>
        <v>East</v>
      </c>
      <c r="E140" s="2" t="str">
        <f t="shared" ca="1" si="27"/>
        <v>West Bengal</v>
      </c>
      <c r="F140" s="2" t="str">
        <f t="shared" ca="1" si="28"/>
        <v>Customer Support</v>
      </c>
      <c r="G140" s="2" t="str">
        <f t="shared" ca="1" si="29"/>
        <v>Analyst</v>
      </c>
      <c r="H140" s="2" t="str">
        <f t="shared" ca="1" si="30"/>
        <v>Books</v>
      </c>
      <c r="I140" s="2">
        <f t="shared" ca="1" si="31"/>
        <v>79</v>
      </c>
      <c r="J140" s="2">
        <f t="shared" ca="1" si="32"/>
        <v>38631</v>
      </c>
      <c r="K140" s="2">
        <f t="shared" ca="1" si="33"/>
        <v>9657.75</v>
      </c>
      <c r="L140" s="2">
        <f t="shared" ca="1" si="34"/>
        <v>14776</v>
      </c>
      <c r="M140" s="2" t="str">
        <f t="shared" ca="1" si="35"/>
        <v>Yes</v>
      </c>
    </row>
    <row r="141" spans="1:13" x14ac:dyDescent="0.25">
      <c r="A141" s="2" t="str">
        <f t="shared" si="24"/>
        <v>E140</v>
      </c>
      <c r="B141" s="2" t="s">
        <v>171</v>
      </c>
      <c r="C141" s="2" t="str">
        <f t="shared" ca="1" si="25"/>
        <v>Jun</v>
      </c>
      <c r="D141" s="2" t="str">
        <f t="shared" ca="1" si="26"/>
        <v>East</v>
      </c>
      <c r="E141" s="2" t="str">
        <f t="shared" ca="1" si="27"/>
        <v>Punjab</v>
      </c>
      <c r="F141" s="2" t="str">
        <f t="shared" ca="1" si="28"/>
        <v>Sales</v>
      </c>
      <c r="G141" s="2" t="str">
        <f t="shared" ca="1" si="29"/>
        <v>Analyst</v>
      </c>
      <c r="H141" s="2" t="str">
        <f t="shared" ca="1" si="30"/>
        <v>Clothing</v>
      </c>
      <c r="I141" s="2">
        <f t="shared" ca="1" si="31"/>
        <v>93</v>
      </c>
      <c r="J141" s="2">
        <f t="shared" ca="1" si="32"/>
        <v>63054</v>
      </c>
      <c r="K141" s="2">
        <f t="shared" ca="1" si="33"/>
        <v>9458.1</v>
      </c>
      <c r="L141" s="2">
        <f t="shared" ca="1" si="34"/>
        <v>17955</v>
      </c>
      <c r="M141" s="2" t="str">
        <f t="shared" ca="1" si="35"/>
        <v>Yes</v>
      </c>
    </row>
    <row r="142" spans="1:13" x14ac:dyDescent="0.25">
      <c r="A142" s="2" t="str">
        <f t="shared" si="24"/>
        <v>E141</v>
      </c>
      <c r="B142" s="2" t="s">
        <v>38</v>
      </c>
      <c r="C142" s="2" t="str">
        <f t="shared" ca="1" si="25"/>
        <v>May</v>
      </c>
      <c r="D142" s="2" t="str">
        <f t="shared" ca="1" si="26"/>
        <v>South</v>
      </c>
      <c r="E142" s="2" t="str">
        <f t="shared" ca="1" si="27"/>
        <v>Gujarat</v>
      </c>
      <c r="F142" s="2" t="str">
        <f t="shared" ca="1" si="28"/>
        <v>Marketing</v>
      </c>
      <c r="G142" s="2" t="str">
        <f t="shared" ca="1" si="29"/>
        <v>Supervisor</v>
      </c>
      <c r="H142" s="2" t="str">
        <f t="shared" ca="1" si="30"/>
        <v>Clothing</v>
      </c>
      <c r="I142" s="2">
        <f t="shared" ca="1" si="31"/>
        <v>49</v>
      </c>
      <c r="J142" s="2">
        <f t="shared" ca="1" si="32"/>
        <v>40621</v>
      </c>
      <c r="K142" s="2">
        <f t="shared" ca="1" si="33"/>
        <v>2437.2600000000002</v>
      </c>
      <c r="L142" s="2">
        <f t="shared" ca="1" si="34"/>
        <v>48215</v>
      </c>
      <c r="M142" s="2" t="str">
        <f t="shared" ca="1" si="35"/>
        <v>No</v>
      </c>
    </row>
    <row r="143" spans="1:13" x14ac:dyDescent="0.25">
      <c r="A143" s="2" t="str">
        <f t="shared" si="24"/>
        <v>E142</v>
      </c>
      <c r="B143" s="2" t="s">
        <v>24</v>
      </c>
      <c r="C143" s="2" t="str">
        <f t="shared" ca="1" si="25"/>
        <v>Dec</v>
      </c>
      <c r="D143" s="2" t="str">
        <f t="shared" ca="1" si="26"/>
        <v>South</v>
      </c>
      <c r="E143" s="2" t="str">
        <f t="shared" ca="1" si="27"/>
        <v>Delhi</v>
      </c>
      <c r="F143" s="2" t="str">
        <f t="shared" ca="1" si="28"/>
        <v>Sales</v>
      </c>
      <c r="G143" s="2" t="str">
        <f t="shared" ca="1" si="29"/>
        <v>Analyst</v>
      </c>
      <c r="H143" s="2" t="str">
        <f t="shared" ca="1" si="30"/>
        <v>Shoes</v>
      </c>
      <c r="I143" s="2">
        <f t="shared" ca="1" si="31"/>
        <v>7</v>
      </c>
      <c r="J143" s="2">
        <f t="shared" ca="1" si="32"/>
        <v>4466</v>
      </c>
      <c r="K143" s="2">
        <f t="shared" ca="1" si="33"/>
        <v>0</v>
      </c>
      <c r="L143" s="2">
        <f t="shared" ca="1" si="34"/>
        <v>37851</v>
      </c>
      <c r="M143" s="2" t="str">
        <f t="shared" ca="1" si="35"/>
        <v>No</v>
      </c>
    </row>
    <row r="144" spans="1:13" x14ac:dyDescent="0.25">
      <c r="A144" s="2" t="str">
        <f t="shared" si="24"/>
        <v>E143</v>
      </c>
      <c r="B144" s="2" t="s">
        <v>172</v>
      </c>
      <c r="C144" s="2" t="str">
        <f t="shared" ca="1" si="25"/>
        <v>Apr</v>
      </c>
      <c r="D144" s="2" t="str">
        <f t="shared" ca="1" si="26"/>
        <v>South</v>
      </c>
      <c r="E144" s="2" t="str">
        <f t="shared" ca="1" si="27"/>
        <v>Punjab</v>
      </c>
      <c r="F144" s="2" t="str">
        <f t="shared" ca="1" si="28"/>
        <v>Sales</v>
      </c>
      <c r="G144" s="2" t="str">
        <f t="shared" ca="1" si="29"/>
        <v>Supervisor</v>
      </c>
      <c r="H144" s="2" t="str">
        <f t="shared" ca="1" si="30"/>
        <v>Shoes</v>
      </c>
      <c r="I144" s="2">
        <f t="shared" ca="1" si="31"/>
        <v>43</v>
      </c>
      <c r="J144" s="2">
        <f t="shared" ca="1" si="32"/>
        <v>40764</v>
      </c>
      <c r="K144" s="2">
        <f t="shared" ca="1" si="33"/>
        <v>10191</v>
      </c>
      <c r="L144" s="2">
        <f t="shared" ca="1" si="34"/>
        <v>18836</v>
      </c>
      <c r="M144" s="2" t="str">
        <f t="shared" ca="1" si="35"/>
        <v>Yes</v>
      </c>
    </row>
    <row r="145" spans="1:13" x14ac:dyDescent="0.25">
      <c r="A145" s="2" t="str">
        <f t="shared" si="24"/>
        <v>E144</v>
      </c>
      <c r="B145" s="2" t="s">
        <v>173</v>
      </c>
      <c r="C145" s="2" t="str">
        <f t="shared" ca="1" si="25"/>
        <v>Oct</v>
      </c>
      <c r="D145" s="2" t="str">
        <f t="shared" ca="1" si="26"/>
        <v>West</v>
      </c>
      <c r="E145" s="2" t="str">
        <f t="shared" ca="1" si="27"/>
        <v>Madhya Pradesh</v>
      </c>
      <c r="F145" s="2" t="str">
        <f t="shared" ca="1" si="28"/>
        <v>Marketing</v>
      </c>
      <c r="G145" s="2" t="str">
        <f t="shared" ca="1" si="29"/>
        <v>Analyst</v>
      </c>
      <c r="H145" s="2" t="str">
        <f t="shared" ca="1" si="30"/>
        <v>Clothing</v>
      </c>
      <c r="I145" s="2">
        <f t="shared" ca="1" si="31"/>
        <v>11</v>
      </c>
      <c r="J145" s="2">
        <f t="shared" ca="1" si="32"/>
        <v>7832</v>
      </c>
      <c r="K145" s="2">
        <f t="shared" ca="1" si="33"/>
        <v>939.84</v>
      </c>
      <c r="L145" s="2">
        <f t="shared" ca="1" si="34"/>
        <v>24170</v>
      </c>
      <c r="M145" s="2" t="str">
        <f t="shared" ca="1" si="35"/>
        <v>No</v>
      </c>
    </row>
    <row r="146" spans="1:13" x14ac:dyDescent="0.25">
      <c r="A146" s="2" t="str">
        <f t="shared" si="24"/>
        <v>E145</v>
      </c>
      <c r="B146" s="2" t="s">
        <v>174</v>
      </c>
      <c r="C146" s="2" t="str">
        <f t="shared" ca="1" si="25"/>
        <v>Aug</v>
      </c>
      <c r="D146" s="2" t="str">
        <f t="shared" ca="1" si="26"/>
        <v>East</v>
      </c>
      <c r="E146" s="2" t="str">
        <f t="shared" ca="1" si="27"/>
        <v>West Bengal</v>
      </c>
      <c r="F146" s="2" t="str">
        <f t="shared" ca="1" si="28"/>
        <v>HR</v>
      </c>
      <c r="G146" s="2" t="str">
        <f t="shared" ca="1" si="29"/>
        <v>Specialist</v>
      </c>
      <c r="H146" s="2" t="str">
        <f t="shared" ca="1" si="30"/>
        <v>Clothing</v>
      </c>
      <c r="I146" s="2">
        <f t="shared" ca="1" si="31"/>
        <v>52</v>
      </c>
      <c r="J146" s="2">
        <f t="shared" ca="1" si="32"/>
        <v>16224</v>
      </c>
      <c r="K146" s="2">
        <f t="shared" ca="1" si="33"/>
        <v>-811.2</v>
      </c>
      <c r="L146" s="2">
        <f t="shared" ca="1" si="34"/>
        <v>26224</v>
      </c>
      <c r="M146" s="2" t="str">
        <f t="shared" ca="1" si="35"/>
        <v>No</v>
      </c>
    </row>
    <row r="147" spans="1:13" x14ac:dyDescent="0.25">
      <c r="A147" s="2" t="str">
        <f t="shared" si="24"/>
        <v>E146</v>
      </c>
      <c r="B147" s="2" t="s">
        <v>175</v>
      </c>
      <c r="C147" s="2" t="str">
        <f t="shared" ca="1" si="25"/>
        <v>Jun</v>
      </c>
      <c r="D147" s="2" t="str">
        <f t="shared" ca="1" si="26"/>
        <v>North</v>
      </c>
      <c r="E147" s="2" t="str">
        <f t="shared" ca="1" si="27"/>
        <v>West Bengal</v>
      </c>
      <c r="F147" s="2" t="str">
        <f t="shared" ca="1" si="28"/>
        <v>Finance</v>
      </c>
      <c r="G147" s="2" t="str">
        <f t="shared" ca="1" si="29"/>
        <v>Specialist</v>
      </c>
      <c r="H147" s="2" t="str">
        <f t="shared" ca="1" si="30"/>
        <v>Electronics</v>
      </c>
      <c r="I147" s="2">
        <f t="shared" ca="1" si="31"/>
        <v>84</v>
      </c>
      <c r="J147" s="2">
        <f t="shared" ca="1" si="32"/>
        <v>50820</v>
      </c>
      <c r="K147" s="2">
        <f t="shared" ca="1" si="33"/>
        <v>11180.4</v>
      </c>
      <c r="L147" s="2">
        <f t="shared" ca="1" si="34"/>
        <v>38279</v>
      </c>
      <c r="M147" s="2" t="str">
        <f t="shared" ca="1" si="35"/>
        <v>Yes</v>
      </c>
    </row>
    <row r="148" spans="1:13" x14ac:dyDescent="0.25">
      <c r="A148" s="2" t="str">
        <f t="shared" si="24"/>
        <v>E147</v>
      </c>
      <c r="B148" s="2" t="s">
        <v>176</v>
      </c>
      <c r="C148" s="2" t="str">
        <f t="shared" ca="1" si="25"/>
        <v>Jun</v>
      </c>
      <c r="D148" s="2" t="str">
        <f t="shared" ca="1" si="26"/>
        <v>North</v>
      </c>
      <c r="E148" s="2" t="str">
        <f t="shared" ca="1" si="27"/>
        <v>Punjab</v>
      </c>
      <c r="F148" s="2" t="str">
        <f t="shared" ca="1" si="28"/>
        <v>HR</v>
      </c>
      <c r="G148" s="2" t="str">
        <f t="shared" ca="1" si="29"/>
        <v>Executive</v>
      </c>
      <c r="H148" s="2" t="str">
        <f t="shared" ca="1" si="30"/>
        <v>Shoes</v>
      </c>
      <c r="I148" s="2">
        <f t="shared" ca="1" si="31"/>
        <v>33</v>
      </c>
      <c r="J148" s="2">
        <f t="shared" ca="1" si="32"/>
        <v>10461</v>
      </c>
      <c r="K148" s="2">
        <f t="shared" ca="1" si="33"/>
        <v>0</v>
      </c>
      <c r="L148" s="2">
        <f t="shared" ca="1" si="34"/>
        <v>11224</v>
      </c>
      <c r="M148" s="2" t="str">
        <f t="shared" ca="1" si="35"/>
        <v>No</v>
      </c>
    </row>
    <row r="149" spans="1:13" x14ac:dyDescent="0.25">
      <c r="A149" s="2" t="str">
        <f t="shared" si="24"/>
        <v>E148</v>
      </c>
      <c r="B149" s="2" t="s">
        <v>177</v>
      </c>
      <c r="C149" s="2" t="str">
        <f t="shared" ca="1" si="25"/>
        <v>Jun</v>
      </c>
      <c r="D149" s="2" t="str">
        <f t="shared" ca="1" si="26"/>
        <v>North</v>
      </c>
      <c r="E149" s="2" t="str">
        <f t="shared" ca="1" si="27"/>
        <v>Tamil Nadu</v>
      </c>
      <c r="F149" s="2" t="str">
        <f t="shared" ca="1" si="28"/>
        <v>Operations</v>
      </c>
      <c r="G149" s="2" t="str">
        <f t="shared" ca="1" si="29"/>
        <v>Specialist</v>
      </c>
      <c r="H149" s="2" t="str">
        <f t="shared" ca="1" si="30"/>
        <v>Shoes</v>
      </c>
      <c r="I149" s="2">
        <f t="shared" ca="1" si="31"/>
        <v>15</v>
      </c>
      <c r="J149" s="2">
        <f t="shared" ca="1" si="32"/>
        <v>14310</v>
      </c>
      <c r="K149" s="2">
        <f t="shared" ca="1" si="33"/>
        <v>2432.6999999999998</v>
      </c>
      <c r="L149" s="2">
        <f t="shared" ca="1" si="34"/>
        <v>28793</v>
      </c>
      <c r="M149" s="2" t="str">
        <f t="shared" ca="1" si="35"/>
        <v>No</v>
      </c>
    </row>
    <row r="150" spans="1:13" x14ac:dyDescent="0.25">
      <c r="A150" s="2" t="str">
        <f t="shared" si="24"/>
        <v>E149</v>
      </c>
      <c r="B150" s="2" t="s">
        <v>178</v>
      </c>
      <c r="C150" s="2" t="str">
        <f t="shared" ca="1" si="25"/>
        <v>Oct</v>
      </c>
      <c r="D150" s="2" t="str">
        <f t="shared" ca="1" si="26"/>
        <v>East</v>
      </c>
      <c r="E150" s="2" t="str">
        <f t="shared" ca="1" si="27"/>
        <v>Gujarat</v>
      </c>
      <c r="F150" s="2" t="str">
        <f t="shared" ca="1" si="28"/>
        <v>Customer Support</v>
      </c>
      <c r="G150" s="2" t="str">
        <f t="shared" ca="1" si="29"/>
        <v>Specialist</v>
      </c>
      <c r="H150" s="2" t="str">
        <f t="shared" ca="1" si="30"/>
        <v>Books</v>
      </c>
      <c r="I150" s="2">
        <f t="shared" ca="1" si="31"/>
        <v>91</v>
      </c>
      <c r="J150" s="2">
        <f t="shared" ca="1" si="32"/>
        <v>46319</v>
      </c>
      <c r="K150" s="2">
        <f t="shared" ca="1" si="33"/>
        <v>5095.09</v>
      </c>
      <c r="L150" s="2">
        <f t="shared" ca="1" si="34"/>
        <v>17454</v>
      </c>
      <c r="M150" s="2" t="str">
        <f t="shared" ca="1" si="35"/>
        <v>Yes</v>
      </c>
    </row>
    <row r="151" spans="1:13" x14ac:dyDescent="0.25">
      <c r="A151" s="2" t="str">
        <f t="shared" si="24"/>
        <v>E150</v>
      </c>
      <c r="B151" s="2" t="s">
        <v>179</v>
      </c>
      <c r="C151" s="2" t="str">
        <f t="shared" ca="1" si="25"/>
        <v>Feb</v>
      </c>
      <c r="D151" s="2" t="str">
        <f t="shared" ca="1" si="26"/>
        <v>South</v>
      </c>
      <c r="E151" s="2" t="str">
        <f t="shared" ca="1" si="27"/>
        <v>Madhya Pradesh</v>
      </c>
      <c r="F151" s="2" t="str">
        <f t="shared" ca="1" si="28"/>
        <v>Marketing</v>
      </c>
      <c r="G151" s="2" t="str">
        <f t="shared" ca="1" si="29"/>
        <v>Executive</v>
      </c>
      <c r="H151" s="2" t="str">
        <f t="shared" ca="1" si="30"/>
        <v>Electronics</v>
      </c>
      <c r="I151" s="2">
        <f t="shared" ca="1" si="31"/>
        <v>45</v>
      </c>
      <c r="J151" s="2">
        <f t="shared" ca="1" si="32"/>
        <v>42210</v>
      </c>
      <c r="K151" s="2">
        <f t="shared" ca="1" si="33"/>
        <v>5065.2</v>
      </c>
      <c r="L151" s="2">
        <f t="shared" ca="1" si="34"/>
        <v>14524</v>
      </c>
      <c r="M151" s="2" t="str">
        <f t="shared" ca="1" si="35"/>
        <v>Yes</v>
      </c>
    </row>
    <row r="152" spans="1:13" x14ac:dyDescent="0.25">
      <c r="A152" s="2" t="str">
        <f t="shared" si="24"/>
        <v>E151</v>
      </c>
      <c r="B152" s="2" t="s">
        <v>180</v>
      </c>
      <c r="C152" s="2" t="str">
        <f t="shared" ca="1" si="25"/>
        <v>May</v>
      </c>
      <c r="D152" s="2" t="str">
        <f t="shared" ca="1" si="26"/>
        <v>North</v>
      </c>
      <c r="E152" s="2" t="str">
        <f t="shared" ca="1" si="27"/>
        <v>Punjab</v>
      </c>
      <c r="F152" s="2" t="str">
        <f t="shared" ca="1" si="28"/>
        <v>Sales</v>
      </c>
      <c r="G152" s="2" t="str">
        <f t="shared" ca="1" si="29"/>
        <v>Supervisor</v>
      </c>
      <c r="H152" s="2" t="str">
        <f t="shared" ca="1" si="30"/>
        <v>Electronics</v>
      </c>
      <c r="I152" s="2">
        <f t="shared" ca="1" si="31"/>
        <v>27</v>
      </c>
      <c r="J152" s="2">
        <f t="shared" ca="1" si="32"/>
        <v>24381</v>
      </c>
      <c r="K152" s="2">
        <f t="shared" ca="1" si="33"/>
        <v>6095.25</v>
      </c>
      <c r="L152" s="2">
        <f t="shared" ca="1" si="34"/>
        <v>30611</v>
      </c>
      <c r="M152" s="2" t="str">
        <f t="shared" ca="1" si="35"/>
        <v>No</v>
      </c>
    </row>
    <row r="153" spans="1:13" x14ac:dyDescent="0.25">
      <c r="A153" s="2" t="str">
        <f t="shared" si="24"/>
        <v>E152</v>
      </c>
      <c r="B153" s="2" t="s">
        <v>181</v>
      </c>
      <c r="C153" s="2" t="str">
        <f t="shared" ca="1" si="25"/>
        <v>Nov</v>
      </c>
      <c r="D153" s="2" t="str">
        <f t="shared" ca="1" si="26"/>
        <v>South</v>
      </c>
      <c r="E153" s="2" t="str">
        <f t="shared" ca="1" si="27"/>
        <v>West Bengal</v>
      </c>
      <c r="F153" s="2" t="str">
        <f t="shared" ca="1" si="28"/>
        <v>Marketing</v>
      </c>
      <c r="G153" s="2" t="str">
        <f t="shared" ca="1" si="29"/>
        <v>Supervisor</v>
      </c>
      <c r="H153" s="2" t="str">
        <f t="shared" ca="1" si="30"/>
        <v>Shoes</v>
      </c>
      <c r="I153" s="2">
        <f t="shared" ca="1" si="31"/>
        <v>49</v>
      </c>
      <c r="J153" s="2">
        <f t="shared" ca="1" si="32"/>
        <v>40768</v>
      </c>
      <c r="K153" s="2">
        <f t="shared" ca="1" si="33"/>
        <v>7338.24</v>
      </c>
      <c r="L153" s="2">
        <f t="shared" ca="1" si="34"/>
        <v>49478</v>
      </c>
      <c r="M153" s="2" t="str">
        <f t="shared" ca="1" si="35"/>
        <v>No</v>
      </c>
    </row>
    <row r="154" spans="1:13" x14ac:dyDescent="0.25">
      <c r="A154" s="2" t="str">
        <f t="shared" si="24"/>
        <v>E153</v>
      </c>
      <c r="B154" s="2" t="s">
        <v>182</v>
      </c>
      <c r="C154" s="2" t="str">
        <f t="shared" ca="1" si="25"/>
        <v>Aug</v>
      </c>
      <c r="D154" s="2" t="str">
        <f t="shared" ca="1" si="26"/>
        <v>South</v>
      </c>
      <c r="E154" s="2" t="str">
        <f t="shared" ca="1" si="27"/>
        <v>Tamil Nadu</v>
      </c>
      <c r="F154" s="2" t="str">
        <f t="shared" ca="1" si="28"/>
        <v>Marketing</v>
      </c>
      <c r="G154" s="2" t="str">
        <f t="shared" ca="1" si="29"/>
        <v>Analyst</v>
      </c>
      <c r="H154" s="2" t="str">
        <f t="shared" ca="1" si="30"/>
        <v>Electronics</v>
      </c>
      <c r="I154" s="2">
        <f t="shared" ca="1" si="31"/>
        <v>87</v>
      </c>
      <c r="J154" s="2">
        <f t="shared" ca="1" si="32"/>
        <v>59769</v>
      </c>
      <c r="K154" s="2">
        <f t="shared" ca="1" si="33"/>
        <v>11356.11</v>
      </c>
      <c r="L154" s="2">
        <f t="shared" ca="1" si="34"/>
        <v>19751</v>
      </c>
      <c r="M154" s="2" t="str">
        <f t="shared" ca="1" si="35"/>
        <v>Yes</v>
      </c>
    </row>
    <row r="155" spans="1:13" x14ac:dyDescent="0.25">
      <c r="A155" s="2" t="str">
        <f t="shared" si="24"/>
        <v>E154</v>
      </c>
      <c r="B155" s="2" t="s">
        <v>183</v>
      </c>
      <c r="C155" s="2" t="str">
        <f t="shared" ca="1" si="25"/>
        <v>Dec</v>
      </c>
      <c r="D155" s="2" t="str">
        <f t="shared" ca="1" si="26"/>
        <v>West</v>
      </c>
      <c r="E155" s="2" t="str">
        <f t="shared" ca="1" si="27"/>
        <v>West Bengal</v>
      </c>
      <c r="F155" s="2" t="str">
        <f t="shared" ca="1" si="28"/>
        <v>Marketing</v>
      </c>
      <c r="G155" s="2" t="str">
        <f t="shared" ca="1" si="29"/>
        <v>Executive</v>
      </c>
      <c r="H155" s="2" t="str">
        <f t="shared" ca="1" si="30"/>
        <v>Books</v>
      </c>
      <c r="I155" s="2">
        <f t="shared" ca="1" si="31"/>
        <v>35</v>
      </c>
      <c r="J155" s="2">
        <f t="shared" ca="1" si="32"/>
        <v>7315</v>
      </c>
      <c r="K155" s="2">
        <f t="shared" ca="1" si="33"/>
        <v>877.8</v>
      </c>
      <c r="L155" s="2">
        <f t="shared" ca="1" si="34"/>
        <v>12555</v>
      </c>
      <c r="M155" s="2" t="str">
        <f t="shared" ca="1" si="35"/>
        <v>No</v>
      </c>
    </row>
    <row r="156" spans="1:13" x14ac:dyDescent="0.25">
      <c r="A156" s="2" t="str">
        <f t="shared" si="24"/>
        <v>E155</v>
      </c>
      <c r="B156" s="2" t="s">
        <v>32</v>
      </c>
      <c r="C156" s="2" t="str">
        <f t="shared" ca="1" si="25"/>
        <v>Jan</v>
      </c>
      <c r="D156" s="2" t="str">
        <f t="shared" ca="1" si="26"/>
        <v>South</v>
      </c>
      <c r="E156" s="2" t="str">
        <f t="shared" ca="1" si="27"/>
        <v>West Bengal</v>
      </c>
      <c r="F156" s="2" t="str">
        <f t="shared" ca="1" si="28"/>
        <v>Sales</v>
      </c>
      <c r="G156" s="2" t="str">
        <f t="shared" ca="1" si="29"/>
        <v>Supervisor</v>
      </c>
      <c r="H156" s="2" t="str">
        <f t="shared" ca="1" si="30"/>
        <v>Books</v>
      </c>
      <c r="I156" s="2">
        <f t="shared" ca="1" si="31"/>
        <v>6</v>
      </c>
      <c r="J156" s="2">
        <f t="shared" ca="1" si="32"/>
        <v>4434</v>
      </c>
      <c r="K156" s="2">
        <f t="shared" ca="1" si="33"/>
        <v>177.36</v>
      </c>
      <c r="L156" s="2">
        <f t="shared" ca="1" si="34"/>
        <v>45119</v>
      </c>
      <c r="M156" s="2" t="str">
        <f t="shared" ca="1" si="35"/>
        <v>No</v>
      </c>
    </row>
    <row r="157" spans="1:13" x14ac:dyDescent="0.25">
      <c r="A157" s="2" t="str">
        <f t="shared" si="24"/>
        <v>E156</v>
      </c>
      <c r="B157" s="2" t="s">
        <v>184</v>
      </c>
      <c r="C157" s="2" t="str">
        <f t="shared" ca="1" si="25"/>
        <v>Sep</v>
      </c>
      <c r="D157" s="2" t="str">
        <f t="shared" ca="1" si="26"/>
        <v>North</v>
      </c>
      <c r="E157" s="2" t="str">
        <f t="shared" ca="1" si="27"/>
        <v>Gujarat</v>
      </c>
      <c r="F157" s="2" t="str">
        <f t="shared" ca="1" si="28"/>
        <v>Marketing</v>
      </c>
      <c r="G157" s="2" t="str">
        <f t="shared" ca="1" si="29"/>
        <v>Supervisor</v>
      </c>
      <c r="H157" s="2" t="str">
        <f t="shared" ca="1" si="30"/>
        <v>Books</v>
      </c>
      <c r="I157" s="2">
        <f t="shared" ca="1" si="31"/>
        <v>75</v>
      </c>
      <c r="J157" s="2">
        <f t="shared" ca="1" si="32"/>
        <v>37425</v>
      </c>
      <c r="K157" s="2">
        <f t="shared" ca="1" si="33"/>
        <v>10853.25</v>
      </c>
      <c r="L157" s="2">
        <f t="shared" ca="1" si="34"/>
        <v>20268</v>
      </c>
      <c r="M157" s="2" t="str">
        <f t="shared" ca="1" si="35"/>
        <v>Yes</v>
      </c>
    </row>
    <row r="158" spans="1:13" x14ac:dyDescent="0.25">
      <c r="A158" s="2" t="str">
        <f t="shared" si="24"/>
        <v>E157</v>
      </c>
      <c r="B158" s="2" t="s">
        <v>185</v>
      </c>
      <c r="C158" s="2" t="str">
        <f t="shared" ca="1" si="25"/>
        <v>Jun</v>
      </c>
      <c r="D158" s="2" t="str">
        <f t="shared" ca="1" si="26"/>
        <v>South</v>
      </c>
      <c r="E158" s="2" t="str">
        <f t="shared" ca="1" si="27"/>
        <v>Punjab</v>
      </c>
      <c r="F158" s="2" t="str">
        <f t="shared" ca="1" si="28"/>
        <v>HR</v>
      </c>
      <c r="G158" s="2" t="str">
        <f t="shared" ca="1" si="29"/>
        <v>Supervisor</v>
      </c>
      <c r="H158" s="2" t="str">
        <f t="shared" ca="1" si="30"/>
        <v>Books</v>
      </c>
      <c r="I158" s="2">
        <f t="shared" ca="1" si="31"/>
        <v>15</v>
      </c>
      <c r="J158" s="2">
        <f t="shared" ca="1" si="32"/>
        <v>5775</v>
      </c>
      <c r="K158" s="2">
        <f t="shared" ca="1" si="33"/>
        <v>115.5</v>
      </c>
      <c r="L158" s="2">
        <f t="shared" ca="1" si="34"/>
        <v>38142</v>
      </c>
      <c r="M158" s="2" t="str">
        <f t="shared" ca="1" si="35"/>
        <v>No</v>
      </c>
    </row>
    <row r="159" spans="1:13" x14ac:dyDescent="0.25">
      <c r="A159" s="2" t="str">
        <f t="shared" si="24"/>
        <v>E158</v>
      </c>
      <c r="B159" s="2" t="s">
        <v>186</v>
      </c>
      <c r="C159" s="2" t="str">
        <f t="shared" ca="1" si="25"/>
        <v>Mar</v>
      </c>
      <c r="D159" s="2" t="str">
        <f t="shared" ca="1" si="26"/>
        <v>East</v>
      </c>
      <c r="E159" s="2" t="str">
        <f t="shared" ca="1" si="27"/>
        <v>Punjab</v>
      </c>
      <c r="F159" s="2" t="str">
        <f t="shared" ca="1" si="28"/>
        <v>HR</v>
      </c>
      <c r="G159" s="2" t="str">
        <f t="shared" ca="1" si="29"/>
        <v>Specialist</v>
      </c>
      <c r="H159" s="2" t="str">
        <f t="shared" ca="1" si="30"/>
        <v>Electronics</v>
      </c>
      <c r="I159" s="2">
        <f t="shared" ca="1" si="31"/>
        <v>29</v>
      </c>
      <c r="J159" s="2">
        <f t="shared" ca="1" si="32"/>
        <v>20416</v>
      </c>
      <c r="K159" s="2">
        <f t="shared" ca="1" si="33"/>
        <v>-204.16</v>
      </c>
      <c r="L159" s="2">
        <f t="shared" ca="1" si="34"/>
        <v>10054</v>
      </c>
      <c r="M159" s="2" t="str">
        <f t="shared" ca="1" si="35"/>
        <v>Yes</v>
      </c>
    </row>
    <row r="160" spans="1:13" x14ac:dyDescent="0.25">
      <c r="A160" s="2" t="str">
        <f t="shared" si="24"/>
        <v>E159</v>
      </c>
      <c r="B160" s="2" t="s">
        <v>187</v>
      </c>
      <c r="C160" s="2" t="str">
        <f t="shared" ca="1" si="25"/>
        <v>Mar</v>
      </c>
      <c r="D160" s="2" t="str">
        <f t="shared" ca="1" si="26"/>
        <v>South</v>
      </c>
      <c r="E160" s="2" t="str">
        <f t="shared" ca="1" si="27"/>
        <v>Punjab</v>
      </c>
      <c r="F160" s="2" t="str">
        <f t="shared" ca="1" si="28"/>
        <v>Operations</v>
      </c>
      <c r="G160" s="2" t="str">
        <f t="shared" ca="1" si="29"/>
        <v>Supervisor</v>
      </c>
      <c r="H160" s="2" t="str">
        <f t="shared" ca="1" si="30"/>
        <v>Books</v>
      </c>
      <c r="I160" s="2">
        <f t="shared" ca="1" si="31"/>
        <v>61</v>
      </c>
      <c r="J160" s="2">
        <f t="shared" ca="1" si="32"/>
        <v>15677</v>
      </c>
      <c r="K160" s="2">
        <f t="shared" ca="1" si="33"/>
        <v>-1254.1600000000001</v>
      </c>
      <c r="L160" s="2">
        <f t="shared" ca="1" si="34"/>
        <v>25124</v>
      </c>
      <c r="M160" s="2" t="str">
        <f t="shared" ca="1" si="35"/>
        <v>No</v>
      </c>
    </row>
    <row r="161" spans="1:13" x14ac:dyDescent="0.25">
      <c r="A161" s="2" t="str">
        <f t="shared" si="24"/>
        <v>E160</v>
      </c>
      <c r="B161" s="2" t="s">
        <v>28</v>
      </c>
      <c r="C161" s="2" t="str">
        <f t="shared" ca="1" si="25"/>
        <v>Jun</v>
      </c>
      <c r="D161" s="2" t="str">
        <f t="shared" ca="1" si="26"/>
        <v>West</v>
      </c>
      <c r="E161" s="2" t="str">
        <f t="shared" ca="1" si="27"/>
        <v>Gujarat</v>
      </c>
      <c r="F161" s="2" t="str">
        <f t="shared" ca="1" si="28"/>
        <v>Finance</v>
      </c>
      <c r="G161" s="2" t="str">
        <f t="shared" ca="1" si="29"/>
        <v>Specialist</v>
      </c>
      <c r="H161" s="2" t="str">
        <f t="shared" ca="1" si="30"/>
        <v>Shoes</v>
      </c>
      <c r="I161" s="2">
        <f t="shared" ca="1" si="31"/>
        <v>19</v>
      </c>
      <c r="J161" s="2">
        <f t="shared" ca="1" si="32"/>
        <v>6403</v>
      </c>
      <c r="K161" s="2">
        <f t="shared" ca="1" si="33"/>
        <v>64.03</v>
      </c>
      <c r="L161" s="2">
        <f t="shared" ca="1" si="34"/>
        <v>30576</v>
      </c>
      <c r="M161" s="2" t="str">
        <f t="shared" ca="1" si="35"/>
        <v>No</v>
      </c>
    </row>
    <row r="162" spans="1:13" x14ac:dyDescent="0.25">
      <c r="A162" s="2" t="str">
        <f t="shared" si="24"/>
        <v>E161</v>
      </c>
      <c r="B162" s="2" t="s">
        <v>38</v>
      </c>
      <c r="C162" s="2" t="str">
        <f t="shared" ca="1" si="25"/>
        <v>Sep</v>
      </c>
      <c r="D162" s="2" t="str">
        <f t="shared" ca="1" si="26"/>
        <v>South</v>
      </c>
      <c r="E162" s="2" t="str">
        <f t="shared" ca="1" si="27"/>
        <v>Tamil Nadu</v>
      </c>
      <c r="F162" s="2" t="str">
        <f t="shared" ca="1" si="28"/>
        <v>HR</v>
      </c>
      <c r="G162" s="2" t="str">
        <f t="shared" ca="1" si="29"/>
        <v>Analyst</v>
      </c>
      <c r="H162" s="2" t="str">
        <f t="shared" ca="1" si="30"/>
        <v>Shoes</v>
      </c>
      <c r="I162" s="2">
        <f t="shared" ca="1" si="31"/>
        <v>20</v>
      </c>
      <c r="J162" s="2">
        <f t="shared" ca="1" si="32"/>
        <v>6220</v>
      </c>
      <c r="K162" s="2">
        <f t="shared" ca="1" si="33"/>
        <v>62.2</v>
      </c>
      <c r="L162" s="2">
        <f t="shared" ca="1" si="34"/>
        <v>32182</v>
      </c>
      <c r="M162" s="2" t="str">
        <f t="shared" ca="1" si="35"/>
        <v>No</v>
      </c>
    </row>
    <row r="163" spans="1:13" x14ac:dyDescent="0.25">
      <c r="A163" s="2" t="str">
        <f t="shared" si="24"/>
        <v>E162</v>
      </c>
      <c r="B163" s="2" t="s">
        <v>92</v>
      </c>
      <c r="C163" s="2" t="str">
        <f t="shared" ca="1" si="25"/>
        <v>Aug</v>
      </c>
      <c r="D163" s="2" t="str">
        <f t="shared" ca="1" si="26"/>
        <v>East</v>
      </c>
      <c r="E163" s="2" t="str">
        <f t="shared" ca="1" si="27"/>
        <v>Delhi</v>
      </c>
      <c r="F163" s="2" t="str">
        <f t="shared" ca="1" si="28"/>
        <v>HR</v>
      </c>
      <c r="G163" s="2" t="str">
        <f t="shared" ca="1" si="29"/>
        <v>Supervisor</v>
      </c>
      <c r="H163" s="2" t="str">
        <f t="shared" ca="1" si="30"/>
        <v>Clothing</v>
      </c>
      <c r="I163" s="2">
        <f t="shared" ca="1" si="31"/>
        <v>46</v>
      </c>
      <c r="J163" s="2">
        <f t="shared" ca="1" si="32"/>
        <v>33580</v>
      </c>
      <c r="K163" s="2">
        <f t="shared" ca="1" si="33"/>
        <v>2350.6</v>
      </c>
      <c r="L163" s="2">
        <f t="shared" ca="1" si="34"/>
        <v>45938</v>
      </c>
      <c r="M163" s="2" t="str">
        <f t="shared" ca="1" si="35"/>
        <v>No</v>
      </c>
    </row>
    <row r="164" spans="1:13" x14ac:dyDescent="0.25">
      <c r="A164" s="2" t="str">
        <f t="shared" si="24"/>
        <v>E163</v>
      </c>
      <c r="B164" s="2" t="s">
        <v>14</v>
      </c>
      <c r="C164" s="2" t="str">
        <f t="shared" ca="1" si="25"/>
        <v>Mar</v>
      </c>
      <c r="D164" s="2" t="str">
        <f t="shared" ca="1" si="26"/>
        <v>North</v>
      </c>
      <c r="E164" s="2" t="str">
        <f t="shared" ca="1" si="27"/>
        <v>West Bengal</v>
      </c>
      <c r="F164" s="2" t="str">
        <f t="shared" ca="1" si="28"/>
        <v>Finance</v>
      </c>
      <c r="G164" s="2" t="str">
        <f t="shared" ca="1" si="29"/>
        <v>Supervisor</v>
      </c>
      <c r="H164" s="2" t="str">
        <f t="shared" ca="1" si="30"/>
        <v>Books</v>
      </c>
      <c r="I164" s="2">
        <f t="shared" ca="1" si="31"/>
        <v>70</v>
      </c>
      <c r="J164" s="2">
        <f t="shared" ca="1" si="32"/>
        <v>29610</v>
      </c>
      <c r="K164" s="2">
        <f t="shared" ca="1" si="33"/>
        <v>-1184.4000000000001</v>
      </c>
      <c r="L164" s="2">
        <f t="shared" ca="1" si="34"/>
        <v>27857</v>
      </c>
      <c r="M164" s="2" t="str">
        <f t="shared" ca="1" si="35"/>
        <v>Yes</v>
      </c>
    </row>
    <row r="165" spans="1:13" x14ac:dyDescent="0.25">
      <c r="A165" s="2" t="str">
        <f t="shared" si="24"/>
        <v>E164</v>
      </c>
      <c r="B165" s="2" t="s">
        <v>38</v>
      </c>
      <c r="C165" s="2" t="str">
        <f t="shared" ca="1" si="25"/>
        <v>Oct</v>
      </c>
      <c r="D165" s="2" t="str">
        <f t="shared" ca="1" si="26"/>
        <v>East</v>
      </c>
      <c r="E165" s="2" t="str">
        <f t="shared" ca="1" si="27"/>
        <v>Delhi</v>
      </c>
      <c r="F165" s="2" t="str">
        <f t="shared" ca="1" si="28"/>
        <v>Sales</v>
      </c>
      <c r="G165" s="2" t="str">
        <f t="shared" ca="1" si="29"/>
        <v>Executive</v>
      </c>
      <c r="H165" s="2" t="str">
        <f t="shared" ca="1" si="30"/>
        <v>Shoes</v>
      </c>
      <c r="I165" s="2">
        <f t="shared" ca="1" si="31"/>
        <v>20</v>
      </c>
      <c r="J165" s="2">
        <f t="shared" ca="1" si="32"/>
        <v>14540</v>
      </c>
      <c r="K165" s="2">
        <f t="shared" ca="1" si="33"/>
        <v>-290.8</v>
      </c>
      <c r="L165" s="2">
        <f t="shared" ca="1" si="34"/>
        <v>27103</v>
      </c>
      <c r="M165" s="2" t="str">
        <f t="shared" ca="1" si="35"/>
        <v>No</v>
      </c>
    </row>
    <row r="166" spans="1:13" x14ac:dyDescent="0.25">
      <c r="A166" s="2" t="str">
        <f t="shared" si="24"/>
        <v>E165</v>
      </c>
      <c r="B166" s="2" t="s">
        <v>188</v>
      </c>
      <c r="C166" s="2" t="str">
        <f t="shared" ca="1" si="25"/>
        <v>Jan</v>
      </c>
      <c r="D166" s="2" t="str">
        <f t="shared" ca="1" si="26"/>
        <v>South</v>
      </c>
      <c r="E166" s="2" t="str">
        <f t="shared" ca="1" si="27"/>
        <v>Punjab</v>
      </c>
      <c r="F166" s="2" t="str">
        <f t="shared" ca="1" si="28"/>
        <v>Sales</v>
      </c>
      <c r="G166" s="2" t="str">
        <f t="shared" ca="1" si="29"/>
        <v>Supervisor</v>
      </c>
      <c r="H166" s="2" t="str">
        <f t="shared" ca="1" si="30"/>
        <v>Shoes</v>
      </c>
      <c r="I166" s="2">
        <f t="shared" ca="1" si="31"/>
        <v>73</v>
      </c>
      <c r="J166" s="2">
        <f t="shared" ca="1" si="32"/>
        <v>43654</v>
      </c>
      <c r="K166" s="2">
        <f t="shared" ca="1" si="33"/>
        <v>-873.08</v>
      </c>
      <c r="L166" s="2">
        <f t="shared" ca="1" si="34"/>
        <v>24717</v>
      </c>
      <c r="M166" s="2" t="str">
        <f t="shared" ca="1" si="35"/>
        <v>Yes</v>
      </c>
    </row>
    <row r="167" spans="1:13" x14ac:dyDescent="0.25">
      <c r="A167" s="2" t="str">
        <f t="shared" si="24"/>
        <v>E166</v>
      </c>
      <c r="B167" s="2" t="s">
        <v>189</v>
      </c>
      <c r="C167" s="2" t="str">
        <f t="shared" ca="1" si="25"/>
        <v>Aug</v>
      </c>
      <c r="D167" s="2" t="str">
        <f t="shared" ca="1" si="26"/>
        <v>South</v>
      </c>
      <c r="E167" s="2" t="str">
        <f t="shared" ca="1" si="27"/>
        <v>Gujarat</v>
      </c>
      <c r="F167" s="2" t="str">
        <f t="shared" ca="1" si="28"/>
        <v>Sales</v>
      </c>
      <c r="G167" s="2" t="str">
        <f t="shared" ca="1" si="29"/>
        <v>Supervisor</v>
      </c>
      <c r="H167" s="2" t="str">
        <f t="shared" ca="1" si="30"/>
        <v>Electronics</v>
      </c>
      <c r="I167" s="2">
        <f t="shared" ca="1" si="31"/>
        <v>6</v>
      </c>
      <c r="J167" s="2">
        <f t="shared" ca="1" si="32"/>
        <v>4428</v>
      </c>
      <c r="K167" s="2">
        <f t="shared" ca="1" si="33"/>
        <v>-442.8</v>
      </c>
      <c r="L167" s="2">
        <f t="shared" ca="1" si="34"/>
        <v>16715</v>
      </c>
      <c r="M167" s="2" t="str">
        <f t="shared" ca="1" si="35"/>
        <v>No</v>
      </c>
    </row>
    <row r="168" spans="1:13" x14ac:dyDescent="0.25">
      <c r="A168" s="2" t="str">
        <f t="shared" si="24"/>
        <v>E167</v>
      </c>
      <c r="B168" s="2" t="s">
        <v>44</v>
      </c>
      <c r="C168" s="2" t="str">
        <f t="shared" ca="1" si="25"/>
        <v>May</v>
      </c>
      <c r="D168" s="2" t="str">
        <f t="shared" ca="1" si="26"/>
        <v>South</v>
      </c>
      <c r="E168" s="2" t="str">
        <f t="shared" ca="1" si="27"/>
        <v>Madhya Pradesh</v>
      </c>
      <c r="F168" s="2" t="str">
        <f t="shared" ca="1" si="28"/>
        <v>Operations</v>
      </c>
      <c r="G168" s="2" t="str">
        <f t="shared" ca="1" si="29"/>
        <v>Supervisor</v>
      </c>
      <c r="H168" s="2" t="str">
        <f t="shared" ca="1" si="30"/>
        <v>Books</v>
      </c>
      <c r="I168" s="2">
        <f t="shared" ca="1" si="31"/>
        <v>58</v>
      </c>
      <c r="J168" s="2">
        <f t="shared" ca="1" si="32"/>
        <v>37816</v>
      </c>
      <c r="K168" s="2">
        <f t="shared" ca="1" si="33"/>
        <v>2268.96</v>
      </c>
      <c r="L168" s="2">
        <f t="shared" ca="1" si="34"/>
        <v>18082</v>
      </c>
      <c r="M168" s="2" t="str">
        <f t="shared" ca="1" si="35"/>
        <v>Yes</v>
      </c>
    </row>
    <row r="169" spans="1:13" x14ac:dyDescent="0.25">
      <c r="A169" s="2" t="str">
        <f t="shared" si="24"/>
        <v>E168</v>
      </c>
      <c r="B169" s="2" t="s">
        <v>2</v>
      </c>
      <c r="C169" s="2" t="str">
        <f t="shared" ca="1" si="25"/>
        <v>Jul</v>
      </c>
      <c r="D169" s="2" t="str">
        <f t="shared" ca="1" si="26"/>
        <v>East</v>
      </c>
      <c r="E169" s="2" t="str">
        <f t="shared" ca="1" si="27"/>
        <v>Punjab</v>
      </c>
      <c r="F169" s="2" t="str">
        <f t="shared" ca="1" si="28"/>
        <v>Operations</v>
      </c>
      <c r="G169" s="2" t="str">
        <f t="shared" ca="1" si="29"/>
        <v>Specialist</v>
      </c>
      <c r="H169" s="2" t="str">
        <f t="shared" ca="1" si="30"/>
        <v>Electronics</v>
      </c>
      <c r="I169" s="2">
        <f t="shared" ca="1" si="31"/>
        <v>81</v>
      </c>
      <c r="J169" s="2">
        <f t="shared" ca="1" si="32"/>
        <v>21546</v>
      </c>
      <c r="K169" s="2">
        <f t="shared" ca="1" si="33"/>
        <v>3878.28</v>
      </c>
      <c r="L169" s="2">
        <f t="shared" ca="1" si="34"/>
        <v>36848</v>
      </c>
      <c r="M169" s="2" t="str">
        <f t="shared" ca="1" si="35"/>
        <v>No</v>
      </c>
    </row>
    <row r="170" spans="1:13" x14ac:dyDescent="0.25">
      <c r="A170" s="2" t="str">
        <f t="shared" si="24"/>
        <v>E169</v>
      </c>
      <c r="B170" s="2" t="s">
        <v>190</v>
      </c>
      <c r="C170" s="2" t="str">
        <f t="shared" ca="1" si="25"/>
        <v>Aug</v>
      </c>
      <c r="D170" s="2" t="str">
        <f t="shared" ca="1" si="26"/>
        <v>East</v>
      </c>
      <c r="E170" s="2" t="str">
        <f t="shared" ca="1" si="27"/>
        <v>West Bengal</v>
      </c>
      <c r="F170" s="2" t="str">
        <f t="shared" ca="1" si="28"/>
        <v>Customer Support</v>
      </c>
      <c r="G170" s="2" t="str">
        <f t="shared" ca="1" si="29"/>
        <v>Specialist</v>
      </c>
      <c r="H170" s="2" t="str">
        <f t="shared" ca="1" si="30"/>
        <v>Books</v>
      </c>
      <c r="I170" s="2">
        <f t="shared" ca="1" si="31"/>
        <v>26</v>
      </c>
      <c r="J170" s="2">
        <f t="shared" ca="1" si="32"/>
        <v>14846</v>
      </c>
      <c r="K170" s="2">
        <f t="shared" ca="1" si="33"/>
        <v>3859.96</v>
      </c>
      <c r="L170" s="2">
        <f t="shared" ca="1" si="34"/>
        <v>35402</v>
      </c>
      <c r="M170" s="2" t="str">
        <f t="shared" ca="1" si="35"/>
        <v>No</v>
      </c>
    </row>
    <row r="171" spans="1:13" x14ac:dyDescent="0.25">
      <c r="A171" s="2" t="str">
        <f t="shared" si="24"/>
        <v>E170</v>
      </c>
      <c r="B171" s="2" t="s">
        <v>191</v>
      </c>
      <c r="C171" s="2" t="str">
        <f t="shared" ca="1" si="25"/>
        <v>Nov</v>
      </c>
      <c r="D171" s="2" t="str">
        <f t="shared" ca="1" si="26"/>
        <v>South</v>
      </c>
      <c r="E171" s="2" t="str">
        <f t="shared" ca="1" si="27"/>
        <v>Gujarat</v>
      </c>
      <c r="F171" s="2" t="str">
        <f t="shared" ca="1" si="28"/>
        <v>Sales</v>
      </c>
      <c r="G171" s="2" t="str">
        <f t="shared" ca="1" si="29"/>
        <v>Specialist</v>
      </c>
      <c r="H171" s="2" t="str">
        <f t="shared" ca="1" si="30"/>
        <v>Books</v>
      </c>
      <c r="I171" s="2">
        <f t="shared" ca="1" si="31"/>
        <v>87</v>
      </c>
      <c r="J171" s="2">
        <f t="shared" ca="1" si="32"/>
        <v>80040</v>
      </c>
      <c r="K171" s="2">
        <f t="shared" ca="1" si="33"/>
        <v>-4002</v>
      </c>
      <c r="L171" s="2">
        <f t="shared" ca="1" si="34"/>
        <v>45074</v>
      </c>
      <c r="M171" s="2" t="str">
        <f t="shared" ca="1" si="35"/>
        <v>Yes</v>
      </c>
    </row>
    <row r="172" spans="1:13" x14ac:dyDescent="0.25">
      <c r="A172" s="2" t="str">
        <f t="shared" si="24"/>
        <v>E171</v>
      </c>
      <c r="B172" s="2" t="s">
        <v>192</v>
      </c>
      <c r="C172" s="2" t="str">
        <f t="shared" ca="1" si="25"/>
        <v>Jun</v>
      </c>
      <c r="D172" s="2" t="str">
        <f t="shared" ca="1" si="26"/>
        <v>East</v>
      </c>
      <c r="E172" s="2" t="str">
        <f t="shared" ca="1" si="27"/>
        <v>Delhi</v>
      </c>
      <c r="F172" s="2" t="str">
        <f t="shared" ca="1" si="28"/>
        <v>Marketing</v>
      </c>
      <c r="G172" s="2" t="str">
        <f t="shared" ca="1" si="29"/>
        <v>Analyst</v>
      </c>
      <c r="H172" s="2" t="str">
        <f t="shared" ca="1" si="30"/>
        <v>Clothing</v>
      </c>
      <c r="I172" s="2">
        <f t="shared" ca="1" si="31"/>
        <v>64</v>
      </c>
      <c r="J172" s="2">
        <f t="shared" ca="1" si="32"/>
        <v>48832</v>
      </c>
      <c r="K172" s="2">
        <f t="shared" ca="1" si="33"/>
        <v>5371.52</v>
      </c>
      <c r="L172" s="2">
        <f t="shared" ca="1" si="34"/>
        <v>40770</v>
      </c>
      <c r="M172" s="2" t="str">
        <f t="shared" ca="1" si="35"/>
        <v>Yes</v>
      </c>
    </row>
    <row r="173" spans="1:13" x14ac:dyDescent="0.25">
      <c r="A173" s="2" t="str">
        <f t="shared" si="24"/>
        <v>E172</v>
      </c>
      <c r="B173" s="2" t="s">
        <v>193</v>
      </c>
      <c r="C173" s="2" t="str">
        <f t="shared" ca="1" si="25"/>
        <v>Jun</v>
      </c>
      <c r="D173" s="2" t="str">
        <f t="shared" ca="1" si="26"/>
        <v>West</v>
      </c>
      <c r="E173" s="2" t="str">
        <f t="shared" ca="1" si="27"/>
        <v>Gujarat</v>
      </c>
      <c r="F173" s="2" t="str">
        <f t="shared" ca="1" si="28"/>
        <v>Operations</v>
      </c>
      <c r="G173" s="2" t="str">
        <f t="shared" ca="1" si="29"/>
        <v>Specialist</v>
      </c>
      <c r="H173" s="2" t="str">
        <f t="shared" ca="1" si="30"/>
        <v>Electronics</v>
      </c>
      <c r="I173" s="2">
        <f t="shared" ca="1" si="31"/>
        <v>38</v>
      </c>
      <c r="J173" s="2">
        <f t="shared" ca="1" si="32"/>
        <v>31122</v>
      </c>
      <c r="K173" s="2">
        <f t="shared" ca="1" si="33"/>
        <v>2800.98</v>
      </c>
      <c r="L173" s="2">
        <f t="shared" ca="1" si="34"/>
        <v>40713</v>
      </c>
      <c r="M173" s="2" t="str">
        <f t="shared" ca="1" si="35"/>
        <v>No</v>
      </c>
    </row>
    <row r="174" spans="1:13" x14ac:dyDescent="0.25">
      <c r="A174" s="2" t="str">
        <f t="shared" si="24"/>
        <v>E173</v>
      </c>
      <c r="B174" s="2" t="s">
        <v>194</v>
      </c>
      <c r="C174" s="2" t="str">
        <f t="shared" ca="1" si="25"/>
        <v>Jul</v>
      </c>
      <c r="D174" s="2" t="str">
        <f t="shared" ca="1" si="26"/>
        <v>West</v>
      </c>
      <c r="E174" s="2" t="str">
        <f t="shared" ca="1" si="27"/>
        <v>Gujarat</v>
      </c>
      <c r="F174" s="2" t="str">
        <f t="shared" ca="1" si="28"/>
        <v>Customer Support</v>
      </c>
      <c r="G174" s="2" t="str">
        <f t="shared" ca="1" si="29"/>
        <v>Executive</v>
      </c>
      <c r="H174" s="2" t="str">
        <f t="shared" ca="1" si="30"/>
        <v>Electronics</v>
      </c>
      <c r="I174" s="2">
        <f t="shared" ca="1" si="31"/>
        <v>14</v>
      </c>
      <c r="J174" s="2">
        <f t="shared" ca="1" si="32"/>
        <v>6790</v>
      </c>
      <c r="K174" s="2">
        <f t="shared" ca="1" si="33"/>
        <v>203.7</v>
      </c>
      <c r="L174" s="2">
        <f t="shared" ca="1" si="34"/>
        <v>41799</v>
      </c>
      <c r="M174" s="2" t="str">
        <f t="shared" ca="1" si="35"/>
        <v>No</v>
      </c>
    </row>
    <row r="175" spans="1:13" x14ac:dyDescent="0.25">
      <c r="A175" s="2" t="str">
        <f t="shared" si="24"/>
        <v>E174</v>
      </c>
      <c r="B175" s="2" t="s">
        <v>195</v>
      </c>
      <c r="C175" s="2" t="str">
        <f t="shared" ca="1" si="25"/>
        <v>Oct</v>
      </c>
      <c r="D175" s="2" t="str">
        <f t="shared" ca="1" si="26"/>
        <v>North</v>
      </c>
      <c r="E175" s="2" t="str">
        <f t="shared" ca="1" si="27"/>
        <v>West Bengal</v>
      </c>
      <c r="F175" s="2" t="str">
        <f t="shared" ca="1" si="28"/>
        <v>Sales</v>
      </c>
      <c r="G175" s="2" t="str">
        <f t="shared" ca="1" si="29"/>
        <v>Executive</v>
      </c>
      <c r="H175" s="2" t="str">
        <f t="shared" ca="1" si="30"/>
        <v>Clothing</v>
      </c>
      <c r="I175" s="2">
        <f t="shared" ca="1" si="31"/>
        <v>99</v>
      </c>
      <c r="J175" s="2">
        <f t="shared" ca="1" si="32"/>
        <v>40590</v>
      </c>
      <c r="K175" s="2">
        <f t="shared" ca="1" si="33"/>
        <v>5682.6</v>
      </c>
      <c r="L175" s="2">
        <f t="shared" ca="1" si="34"/>
        <v>30609</v>
      </c>
      <c r="M175" s="2" t="str">
        <f t="shared" ca="1" si="35"/>
        <v>Yes</v>
      </c>
    </row>
    <row r="176" spans="1:13" x14ac:dyDescent="0.25">
      <c r="A176" s="2" t="str">
        <f t="shared" si="24"/>
        <v>E175</v>
      </c>
      <c r="B176" s="2" t="s">
        <v>196</v>
      </c>
      <c r="C176" s="2" t="str">
        <f t="shared" ca="1" si="25"/>
        <v>Mar</v>
      </c>
      <c r="D176" s="2" t="str">
        <f t="shared" ca="1" si="26"/>
        <v>South</v>
      </c>
      <c r="E176" s="2" t="str">
        <f t="shared" ca="1" si="27"/>
        <v>Tamil Nadu</v>
      </c>
      <c r="F176" s="2" t="str">
        <f t="shared" ca="1" si="28"/>
        <v>Customer Support</v>
      </c>
      <c r="G176" s="2" t="str">
        <f t="shared" ca="1" si="29"/>
        <v>Supervisor</v>
      </c>
      <c r="H176" s="2" t="str">
        <f t="shared" ca="1" si="30"/>
        <v>Clothing</v>
      </c>
      <c r="I176" s="2">
        <f t="shared" ca="1" si="31"/>
        <v>57</v>
      </c>
      <c r="J176" s="2">
        <f t="shared" ca="1" si="32"/>
        <v>18354</v>
      </c>
      <c r="K176" s="2">
        <f t="shared" ca="1" si="33"/>
        <v>4772.04</v>
      </c>
      <c r="L176" s="2">
        <f t="shared" ca="1" si="34"/>
        <v>42828</v>
      </c>
      <c r="M176" s="2" t="str">
        <f t="shared" ca="1" si="35"/>
        <v>No</v>
      </c>
    </row>
    <row r="177" spans="1:13" x14ac:dyDescent="0.25">
      <c r="A177" s="2" t="str">
        <f t="shared" si="24"/>
        <v>E176</v>
      </c>
      <c r="B177" s="2" t="s">
        <v>197</v>
      </c>
      <c r="C177" s="2" t="str">
        <f t="shared" ca="1" si="25"/>
        <v>Nov</v>
      </c>
      <c r="D177" s="2" t="str">
        <f t="shared" ca="1" si="26"/>
        <v>South</v>
      </c>
      <c r="E177" s="2" t="str">
        <f t="shared" ca="1" si="27"/>
        <v>Madhya Pradesh</v>
      </c>
      <c r="F177" s="2" t="str">
        <f t="shared" ca="1" si="28"/>
        <v>Finance</v>
      </c>
      <c r="G177" s="2" t="str">
        <f t="shared" ca="1" si="29"/>
        <v>Specialist</v>
      </c>
      <c r="H177" s="2" t="str">
        <f t="shared" ca="1" si="30"/>
        <v>Books</v>
      </c>
      <c r="I177" s="2">
        <f t="shared" ca="1" si="31"/>
        <v>83</v>
      </c>
      <c r="J177" s="2">
        <f t="shared" ca="1" si="32"/>
        <v>28386</v>
      </c>
      <c r="K177" s="2">
        <f t="shared" ca="1" si="33"/>
        <v>3690.18</v>
      </c>
      <c r="L177" s="2">
        <f t="shared" ca="1" si="34"/>
        <v>24178</v>
      </c>
      <c r="M177" s="2" t="str">
        <f t="shared" ca="1" si="35"/>
        <v>Yes</v>
      </c>
    </row>
    <row r="178" spans="1:13" x14ac:dyDescent="0.25">
      <c r="A178" s="2" t="str">
        <f t="shared" si="24"/>
        <v>E177</v>
      </c>
      <c r="B178" s="2" t="s">
        <v>198</v>
      </c>
      <c r="C178" s="2" t="str">
        <f t="shared" ca="1" si="25"/>
        <v>May</v>
      </c>
      <c r="D178" s="2" t="str">
        <f t="shared" ca="1" si="26"/>
        <v>East</v>
      </c>
      <c r="E178" s="2" t="str">
        <f t="shared" ca="1" si="27"/>
        <v>Madhya Pradesh</v>
      </c>
      <c r="F178" s="2" t="str">
        <f t="shared" ca="1" si="28"/>
        <v>Finance</v>
      </c>
      <c r="G178" s="2" t="str">
        <f t="shared" ca="1" si="29"/>
        <v>Specialist</v>
      </c>
      <c r="H178" s="2" t="str">
        <f t="shared" ca="1" si="30"/>
        <v>Shoes</v>
      </c>
      <c r="I178" s="2">
        <f t="shared" ca="1" si="31"/>
        <v>84</v>
      </c>
      <c r="J178" s="2">
        <f t="shared" ca="1" si="32"/>
        <v>61656</v>
      </c>
      <c r="K178" s="2">
        <f t="shared" ca="1" si="33"/>
        <v>0</v>
      </c>
      <c r="L178" s="2">
        <f t="shared" ca="1" si="34"/>
        <v>43630</v>
      </c>
      <c r="M178" s="2" t="str">
        <f t="shared" ca="1" si="35"/>
        <v>Yes</v>
      </c>
    </row>
    <row r="179" spans="1:13" x14ac:dyDescent="0.25">
      <c r="A179" s="2" t="str">
        <f t="shared" si="24"/>
        <v>E178</v>
      </c>
      <c r="B179" s="2" t="s">
        <v>199</v>
      </c>
      <c r="C179" s="2" t="str">
        <f t="shared" ca="1" si="25"/>
        <v>Sep</v>
      </c>
      <c r="D179" s="2" t="str">
        <f t="shared" ca="1" si="26"/>
        <v>West</v>
      </c>
      <c r="E179" s="2" t="str">
        <f t="shared" ca="1" si="27"/>
        <v>Delhi</v>
      </c>
      <c r="F179" s="2" t="str">
        <f t="shared" ca="1" si="28"/>
        <v>Customer Support</v>
      </c>
      <c r="G179" s="2" t="str">
        <f t="shared" ca="1" si="29"/>
        <v>Supervisor</v>
      </c>
      <c r="H179" s="2" t="str">
        <f t="shared" ca="1" si="30"/>
        <v>Clothing</v>
      </c>
      <c r="I179" s="2">
        <f t="shared" ca="1" si="31"/>
        <v>36</v>
      </c>
      <c r="J179" s="2">
        <f t="shared" ca="1" si="32"/>
        <v>35568</v>
      </c>
      <c r="K179" s="2">
        <f t="shared" ca="1" si="33"/>
        <v>4979.5200000000004</v>
      </c>
      <c r="L179" s="2">
        <f t="shared" ca="1" si="34"/>
        <v>10082</v>
      </c>
      <c r="M179" s="2" t="str">
        <f t="shared" ca="1" si="35"/>
        <v>Yes</v>
      </c>
    </row>
    <row r="180" spans="1:13" x14ac:dyDescent="0.25">
      <c r="A180" s="2" t="str">
        <f t="shared" si="24"/>
        <v>E179</v>
      </c>
      <c r="B180" s="2" t="s">
        <v>40</v>
      </c>
      <c r="C180" s="2" t="str">
        <f t="shared" ca="1" si="25"/>
        <v>Dec</v>
      </c>
      <c r="D180" s="2" t="str">
        <f t="shared" ca="1" si="26"/>
        <v>West</v>
      </c>
      <c r="E180" s="2" t="str">
        <f t="shared" ca="1" si="27"/>
        <v>Madhya Pradesh</v>
      </c>
      <c r="F180" s="2" t="str">
        <f t="shared" ca="1" si="28"/>
        <v>Marketing</v>
      </c>
      <c r="G180" s="2" t="str">
        <f t="shared" ca="1" si="29"/>
        <v>Supervisor</v>
      </c>
      <c r="H180" s="2" t="str">
        <f t="shared" ca="1" si="30"/>
        <v>Clothing</v>
      </c>
      <c r="I180" s="2">
        <f t="shared" ca="1" si="31"/>
        <v>91</v>
      </c>
      <c r="J180" s="2">
        <f t="shared" ca="1" si="32"/>
        <v>69615</v>
      </c>
      <c r="K180" s="2">
        <f t="shared" ca="1" si="33"/>
        <v>19492.2</v>
      </c>
      <c r="L180" s="2">
        <f t="shared" ca="1" si="34"/>
        <v>41177</v>
      </c>
      <c r="M180" s="2" t="str">
        <f t="shared" ca="1" si="35"/>
        <v>Yes</v>
      </c>
    </row>
    <row r="181" spans="1:13" x14ac:dyDescent="0.25">
      <c r="A181" s="2" t="str">
        <f t="shared" si="24"/>
        <v>E180</v>
      </c>
      <c r="B181" s="2" t="s">
        <v>200</v>
      </c>
      <c r="C181" s="2" t="str">
        <f t="shared" ca="1" si="25"/>
        <v>Oct</v>
      </c>
      <c r="D181" s="2" t="str">
        <f t="shared" ca="1" si="26"/>
        <v>South</v>
      </c>
      <c r="E181" s="2" t="str">
        <f t="shared" ca="1" si="27"/>
        <v>Punjab</v>
      </c>
      <c r="F181" s="2" t="str">
        <f t="shared" ca="1" si="28"/>
        <v>Operations</v>
      </c>
      <c r="G181" s="2" t="str">
        <f t="shared" ca="1" si="29"/>
        <v>Analyst</v>
      </c>
      <c r="H181" s="2" t="str">
        <f t="shared" ca="1" si="30"/>
        <v>Books</v>
      </c>
      <c r="I181" s="2">
        <f t="shared" ca="1" si="31"/>
        <v>33</v>
      </c>
      <c r="J181" s="2">
        <f t="shared" ca="1" si="32"/>
        <v>15642</v>
      </c>
      <c r="K181" s="2">
        <f t="shared" ca="1" si="33"/>
        <v>-782.1</v>
      </c>
      <c r="L181" s="2">
        <f t="shared" ca="1" si="34"/>
        <v>11216</v>
      </c>
      <c r="M181" s="2" t="str">
        <f t="shared" ca="1" si="35"/>
        <v>Yes</v>
      </c>
    </row>
    <row r="182" spans="1:13" x14ac:dyDescent="0.25">
      <c r="A182" s="2" t="str">
        <f t="shared" si="24"/>
        <v>E181</v>
      </c>
      <c r="B182" s="2" t="s">
        <v>201</v>
      </c>
      <c r="C182" s="2" t="str">
        <f t="shared" ca="1" si="25"/>
        <v>Jun</v>
      </c>
      <c r="D182" s="2" t="str">
        <f t="shared" ca="1" si="26"/>
        <v>East</v>
      </c>
      <c r="E182" s="2" t="str">
        <f t="shared" ca="1" si="27"/>
        <v>Punjab</v>
      </c>
      <c r="F182" s="2" t="str">
        <f t="shared" ca="1" si="28"/>
        <v>Operations</v>
      </c>
      <c r="G182" s="2" t="str">
        <f t="shared" ca="1" si="29"/>
        <v>Executive</v>
      </c>
      <c r="H182" s="2" t="str">
        <f t="shared" ca="1" si="30"/>
        <v>Books</v>
      </c>
      <c r="I182" s="2">
        <f t="shared" ca="1" si="31"/>
        <v>33</v>
      </c>
      <c r="J182" s="2">
        <f t="shared" ca="1" si="32"/>
        <v>26730</v>
      </c>
      <c r="K182" s="2">
        <f t="shared" ca="1" si="33"/>
        <v>-267.3</v>
      </c>
      <c r="L182" s="2">
        <f t="shared" ca="1" si="34"/>
        <v>13597</v>
      </c>
      <c r="M182" s="2" t="str">
        <f t="shared" ca="1" si="35"/>
        <v>Yes</v>
      </c>
    </row>
    <row r="183" spans="1:13" x14ac:dyDescent="0.25">
      <c r="A183" s="2" t="str">
        <f t="shared" si="24"/>
        <v>E182</v>
      </c>
      <c r="B183" s="2" t="s">
        <v>202</v>
      </c>
      <c r="C183" s="2" t="str">
        <f t="shared" ca="1" si="25"/>
        <v>Apr</v>
      </c>
      <c r="D183" s="2" t="str">
        <f t="shared" ca="1" si="26"/>
        <v>North</v>
      </c>
      <c r="E183" s="2" t="str">
        <f t="shared" ca="1" si="27"/>
        <v>Madhya Pradesh</v>
      </c>
      <c r="F183" s="2" t="str">
        <f t="shared" ca="1" si="28"/>
        <v>Sales</v>
      </c>
      <c r="G183" s="2" t="str">
        <f t="shared" ca="1" si="29"/>
        <v>Analyst</v>
      </c>
      <c r="H183" s="2" t="str">
        <f t="shared" ca="1" si="30"/>
        <v>Shoes</v>
      </c>
      <c r="I183" s="2">
        <f t="shared" ca="1" si="31"/>
        <v>39</v>
      </c>
      <c r="J183" s="2">
        <f t="shared" ca="1" si="32"/>
        <v>18486</v>
      </c>
      <c r="K183" s="2">
        <f t="shared" ca="1" si="33"/>
        <v>4436.6400000000003</v>
      </c>
      <c r="L183" s="2">
        <f t="shared" ca="1" si="34"/>
        <v>23883</v>
      </c>
      <c r="M183" s="2" t="str">
        <f t="shared" ca="1" si="35"/>
        <v>No</v>
      </c>
    </row>
    <row r="184" spans="1:13" x14ac:dyDescent="0.25">
      <c r="A184" s="2" t="str">
        <f t="shared" si="24"/>
        <v>E183</v>
      </c>
      <c r="B184" s="2" t="s">
        <v>42</v>
      </c>
      <c r="C184" s="2" t="str">
        <f t="shared" ca="1" si="25"/>
        <v>Nov</v>
      </c>
      <c r="D184" s="2" t="str">
        <f t="shared" ca="1" si="26"/>
        <v>East</v>
      </c>
      <c r="E184" s="2" t="str">
        <f t="shared" ca="1" si="27"/>
        <v>Punjab</v>
      </c>
      <c r="F184" s="2" t="str">
        <f t="shared" ca="1" si="28"/>
        <v>HR</v>
      </c>
      <c r="G184" s="2" t="str">
        <f t="shared" ca="1" si="29"/>
        <v>Analyst</v>
      </c>
      <c r="H184" s="2" t="str">
        <f t="shared" ca="1" si="30"/>
        <v>Shoes</v>
      </c>
      <c r="I184" s="2">
        <f t="shared" ca="1" si="31"/>
        <v>92</v>
      </c>
      <c r="J184" s="2">
        <f t="shared" ca="1" si="32"/>
        <v>84732</v>
      </c>
      <c r="K184" s="2">
        <f t="shared" ca="1" si="33"/>
        <v>16946.400000000001</v>
      </c>
      <c r="L184" s="2">
        <f t="shared" ca="1" si="34"/>
        <v>24299</v>
      </c>
      <c r="M184" s="2" t="str">
        <f t="shared" ca="1" si="35"/>
        <v>Yes</v>
      </c>
    </row>
    <row r="185" spans="1:13" x14ac:dyDescent="0.25">
      <c r="A185" s="2" t="str">
        <f t="shared" si="24"/>
        <v>E184</v>
      </c>
      <c r="B185" s="2" t="s">
        <v>203</v>
      </c>
      <c r="C185" s="2" t="str">
        <f t="shared" ca="1" si="25"/>
        <v>Jun</v>
      </c>
      <c r="D185" s="2" t="str">
        <f t="shared" ca="1" si="26"/>
        <v>West</v>
      </c>
      <c r="E185" s="2" t="str">
        <f t="shared" ca="1" si="27"/>
        <v>Madhya Pradesh</v>
      </c>
      <c r="F185" s="2" t="str">
        <f t="shared" ca="1" si="28"/>
        <v>Operations</v>
      </c>
      <c r="G185" s="2" t="str">
        <f t="shared" ca="1" si="29"/>
        <v>Specialist</v>
      </c>
      <c r="H185" s="2" t="str">
        <f t="shared" ca="1" si="30"/>
        <v>Shoes</v>
      </c>
      <c r="I185" s="2">
        <f t="shared" ca="1" si="31"/>
        <v>6</v>
      </c>
      <c r="J185" s="2">
        <f t="shared" ca="1" si="32"/>
        <v>2844</v>
      </c>
      <c r="K185" s="2">
        <f t="shared" ca="1" si="33"/>
        <v>-28.44</v>
      </c>
      <c r="L185" s="2">
        <f t="shared" ca="1" si="34"/>
        <v>31083</v>
      </c>
      <c r="M185" s="2" t="str">
        <f t="shared" ca="1" si="35"/>
        <v>No</v>
      </c>
    </row>
    <row r="186" spans="1:13" x14ac:dyDescent="0.25">
      <c r="A186" s="2" t="str">
        <f t="shared" si="24"/>
        <v>E185</v>
      </c>
      <c r="B186" s="2" t="s">
        <v>204</v>
      </c>
      <c r="C186" s="2" t="str">
        <f t="shared" ca="1" si="25"/>
        <v>Jan</v>
      </c>
      <c r="D186" s="2" t="str">
        <f t="shared" ca="1" si="26"/>
        <v>West</v>
      </c>
      <c r="E186" s="2" t="str">
        <f t="shared" ca="1" si="27"/>
        <v>Delhi</v>
      </c>
      <c r="F186" s="2" t="str">
        <f t="shared" ca="1" si="28"/>
        <v>Customer Support</v>
      </c>
      <c r="G186" s="2" t="str">
        <f t="shared" ca="1" si="29"/>
        <v>Analyst</v>
      </c>
      <c r="H186" s="2" t="str">
        <f t="shared" ca="1" si="30"/>
        <v>Clothing</v>
      </c>
      <c r="I186" s="2">
        <f t="shared" ca="1" si="31"/>
        <v>70</v>
      </c>
      <c r="J186" s="2">
        <f t="shared" ca="1" si="32"/>
        <v>68460</v>
      </c>
      <c r="K186" s="2">
        <f t="shared" ca="1" si="33"/>
        <v>6161.4</v>
      </c>
      <c r="L186" s="2">
        <f t="shared" ca="1" si="34"/>
        <v>11152</v>
      </c>
      <c r="M186" s="2" t="str">
        <f t="shared" ca="1" si="35"/>
        <v>Yes</v>
      </c>
    </row>
    <row r="187" spans="1:13" x14ac:dyDescent="0.25">
      <c r="A187" s="2" t="str">
        <f t="shared" si="24"/>
        <v>E186</v>
      </c>
      <c r="B187" s="2" t="s">
        <v>54</v>
      </c>
      <c r="C187" s="2" t="str">
        <f t="shared" ca="1" si="25"/>
        <v>Nov</v>
      </c>
      <c r="D187" s="2" t="str">
        <f t="shared" ca="1" si="26"/>
        <v>South</v>
      </c>
      <c r="E187" s="2" t="str">
        <f t="shared" ca="1" si="27"/>
        <v>Gujarat</v>
      </c>
      <c r="F187" s="2" t="str">
        <f t="shared" ca="1" si="28"/>
        <v>Operations</v>
      </c>
      <c r="G187" s="2" t="str">
        <f t="shared" ca="1" si="29"/>
        <v>Executive</v>
      </c>
      <c r="H187" s="2" t="str">
        <f t="shared" ca="1" si="30"/>
        <v>Clothing</v>
      </c>
      <c r="I187" s="2">
        <f t="shared" ca="1" si="31"/>
        <v>26</v>
      </c>
      <c r="J187" s="2">
        <f t="shared" ca="1" si="32"/>
        <v>19552</v>
      </c>
      <c r="K187" s="2">
        <f t="shared" ca="1" si="33"/>
        <v>3519.36</v>
      </c>
      <c r="L187" s="2">
        <f t="shared" ca="1" si="34"/>
        <v>34297</v>
      </c>
      <c r="M187" s="2" t="str">
        <f t="shared" ca="1" si="35"/>
        <v>No</v>
      </c>
    </row>
    <row r="188" spans="1:13" x14ac:dyDescent="0.25">
      <c r="A188" s="2" t="str">
        <f t="shared" si="24"/>
        <v>E187</v>
      </c>
      <c r="B188" s="2" t="s">
        <v>22</v>
      </c>
      <c r="C188" s="2" t="str">
        <f t="shared" ca="1" si="25"/>
        <v>May</v>
      </c>
      <c r="D188" s="2" t="str">
        <f t="shared" ca="1" si="26"/>
        <v>North</v>
      </c>
      <c r="E188" s="2" t="str">
        <f t="shared" ca="1" si="27"/>
        <v>Gujarat</v>
      </c>
      <c r="F188" s="2" t="str">
        <f t="shared" ca="1" si="28"/>
        <v>Operations</v>
      </c>
      <c r="G188" s="2" t="str">
        <f t="shared" ca="1" si="29"/>
        <v>Analyst</v>
      </c>
      <c r="H188" s="2" t="str">
        <f t="shared" ca="1" si="30"/>
        <v>Books</v>
      </c>
      <c r="I188" s="2">
        <f t="shared" ca="1" si="31"/>
        <v>78</v>
      </c>
      <c r="J188" s="2">
        <f t="shared" ca="1" si="32"/>
        <v>52104</v>
      </c>
      <c r="K188" s="2">
        <f t="shared" ca="1" si="33"/>
        <v>7815.6</v>
      </c>
      <c r="L188" s="2">
        <f t="shared" ca="1" si="34"/>
        <v>45421</v>
      </c>
      <c r="M188" s="2" t="str">
        <f t="shared" ca="1" si="35"/>
        <v>Yes</v>
      </c>
    </row>
    <row r="189" spans="1:13" x14ac:dyDescent="0.25">
      <c r="A189" s="2" t="str">
        <f t="shared" si="24"/>
        <v>E188</v>
      </c>
      <c r="B189" s="2" t="s">
        <v>205</v>
      </c>
      <c r="C189" s="2" t="str">
        <f t="shared" ca="1" si="25"/>
        <v>Aug</v>
      </c>
      <c r="D189" s="2" t="str">
        <f t="shared" ca="1" si="26"/>
        <v>South</v>
      </c>
      <c r="E189" s="2" t="str">
        <f t="shared" ca="1" si="27"/>
        <v>Gujarat</v>
      </c>
      <c r="F189" s="2" t="str">
        <f t="shared" ca="1" si="28"/>
        <v>HR</v>
      </c>
      <c r="G189" s="2" t="str">
        <f t="shared" ca="1" si="29"/>
        <v>Analyst</v>
      </c>
      <c r="H189" s="2" t="str">
        <f t="shared" ca="1" si="30"/>
        <v>Electronics</v>
      </c>
      <c r="I189" s="2">
        <f t="shared" ca="1" si="31"/>
        <v>16</v>
      </c>
      <c r="J189" s="2">
        <f t="shared" ca="1" si="32"/>
        <v>5488</v>
      </c>
      <c r="K189" s="2">
        <f t="shared" ca="1" si="33"/>
        <v>878.08</v>
      </c>
      <c r="L189" s="2">
        <f t="shared" ca="1" si="34"/>
        <v>41707</v>
      </c>
      <c r="M189" s="2" t="str">
        <f t="shared" ca="1" si="35"/>
        <v>No</v>
      </c>
    </row>
    <row r="190" spans="1:13" x14ac:dyDescent="0.25">
      <c r="A190" s="2" t="str">
        <f t="shared" si="24"/>
        <v>E189</v>
      </c>
      <c r="B190" s="2" t="s">
        <v>206</v>
      </c>
      <c r="C190" s="2" t="str">
        <f t="shared" ca="1" si="25"/>
        <v>Jul</v>
      </c>
      <c r="D190" s="2" t="str">
        <f t="shared" ca="1" si="26"/>
        <v>North</v>
      </c>
      <c r="E190" s="2" t="str">
        <f t="shared" ca="1" si="27"/>
        <v>Madhya Pradesh</v>
      </c>
      <c r="F190" s="2" t="str">
        <f t="shared" ca="1" si="28"/>
        <v>Finance</v>
      </c>
      <c r="G190" s="2" t="str">
        <f t="shared" ca="1" si="29"/>
        <v>Supervisor</v>
      </c>
      <c r="H190" s="2" t="str">
        <f t="shared" ca="1" si="30"/>
        <v>Electronics</v>
      </c>
      <c r="I190" s="2">
        <f t="shared" ca="1" si="31"/>
        <v>28</v>
      </c>
      <c r="J190" s="2">
        <f t="shared" ca="1" si="32"/>
        <v>13440</v>
      </c>
      <c r="K190" s="2">
        <f t="shared" ca="1" si="33"/>
        <v>3628.8</v>
      </c>
      <c r="L190" s="2">
        <f t="shared" ca="1" si="34"/>
        <v>13555</v>
      </c>
      <c r="M190" s="2" t="str">
        <f t="shared" ca="1" si="35"/>
        <v>No</v>
      </c>
    </row>
    <row r="191" spans="1:13" x14ac:dyDescent="0.25">
      <c r="A191" s="2" t="str">
        <f t="shared" si="24"/>
        <v>E190</v>
      </c>
      <c r="B191" s="2" t="s">
        <v>207</v>
      </c>
      <c r="C191" s="2" t="str">
        <f t="shared" ca="1" si="25"/>
        <v>Sep</v>
      </c>
      <c r="D191" s="2" t="str">
        <f t="shared" ca="1" si="26"/>
        <v>West</v>
      </c>
      <c r="E191" s="2" t="str">
        <f t="shared" ca="1" si="27"/>
        <v>Punjab</v>
      </c>
      <c r="F191" s="2" t="str">
        <f t="shared" ca="1" si="28"/>
        <v>Sales</v>
      </c>
      <c r="G191" s="2" t="str">
        <f t="shared" ca="1" si="29"/>
        <v>Specialist</v>
      </c>
      <c r="H191" s="2" t="str">
        <f t="shared" ca="1" si="30"/>
        <v>Electronics</v>
      </c>
      <c r="I191" s="2">
        <f t="shared" ca="1" si="31"/>
        <v>5</v>
      </c>
      <c r="J191" s="2">
        <f t="shared" ca="1" si="32"/>
        <v>1610</v>
      </c>
      <c r="K191" s="2">
        <f t="shared" ca="1" si="33"/>
        <v>338.1</v>
      </c>
      <c r="L191" s="2">
        <f t="shared" ca="1" si="34"/>
        <v>26097</v>
      </c>
      <c r="M191" s="2" t="str">
        <f t="shared" ca="1" si="35"/>
        <v>No</v>
      </c>
    </row>
    <row r="192" spans="1:13" x14ac:dyDescent="0.25">
      <c r="A192" s="2" t="str">
        <f t="shared" si="24"/>
        <v>E191</v>
      </c>
      <c r="B192" s="2" t="s">
        <v>27</v>
      </c>
      <c r="C192" s="2" t="str">
        <f t="shared" ca="1" si="25"/>
        <v>May</v>
      </c>
      <c r="D192" s="2" t="str">
        <f t="shared" ca="1" si="26"/>
        <v>North</v>
      </c>
      <c r="E192" s="2" t="str">
        <f t="shared" ca="1" si="27"/>
        <v>West Bengal</v>
      </c>
      <c r="F192" s="2" t="str">
        <f t="shared" ca="1" si="28"/>
        <v>HR</v>
      </c>
      <c r="G192" s="2" t="str">
        <f t="shared" ca="1" si="29"/>
        <v>Executive</v>
      </c>
      <c r="H192" s="2" t="str">
        <f t="shared" ca="1" si="30"/>
        <v>Books</v>
      </c>
      <c r="I192" s="2">
        <f t="shared" ca="1" si="31"/>
        <v>43</v>
      </c>
      <c r="J192" s="2">
        <f t="shared" ca="1" si="32"/>
        <v>31390</v>
      </c>
      <c r="K192" s="2">
        <f t="shared" ca="1" si="33"/>
        <v>-941.7</v>
      </c>
      <c r="L192" s="2">
        <f t="shared" ca="1" si="34"/>
        <v>20270</v>
      </c>
      <c r="M192" s="2" t="str">
        <f t="shared" ca="1" si="35"/>
        <v>Yes</v>
      </c>
    </row>
    <row r="193" spans="1:13" x14ac:dyDescent="0.25">
      <c r="A193" s="2" t="str">
        <f t="shared" si="24"/>
        <v>E192</v>
      </c>
      <c r="B193" s="2" t="s">
        <v>208</v>
      </c>
      <c r="C193" s="2" t="str">
        <f t="shared" ca="1" si="25"/>
        <v>Jul</v>
      </c>
      <c r="D193" s="2" t="str">
        <f t="shared" ca="1" si="26"/>
        <v>North</v>
      </c>
      <c r="E193" s="2" t="str">
        <f t="shared" ca="1" si="27"/>
        <v>Tamil Nadu</v>
      </c>
      <c r="F193" s="2" t="str">
        <f t="shared" ca="1" si="28"/>
        <v>Sales</v>
      </c>
      <c r="G193" s="2" t="str">
        <f t="shared" ca="1" si="29"/>
        <v>Analyst</v>
      </c>
      <c r="H193" s="2" t="str">
        <f t="shared" ca="1" si="30"/>
        <v>Electronics</v>
      </c>
      <c r="I193" s="2">
        <f t="shared" ca="1" si="31"/>
        <v>48</v>
      </c>
      <c r="J193" s="2">
        <f t="shared" ca="1" si="32"/>
        <v>33600</v>
      </c>
      <c r="K193" s="2">
        <f t="shared" ca="1" si="33"/>
        <v>-1680</v>
      </c>
      <c r="L193" s="2">
        <f t="shared" ca="1" si="34"/>
        <v>12278</v>
      </c>
      <c r="M193" s="2" t="str">
        <f t="shared" ca="1" si="35"/>
        <v>Yes</v>
      </c>
    </row>
    <row r="194" spans="1:13" x14ac:dyDescent="0.25">
      <c r="A194" s="2" t="str">
        <f t="shared" si="24"/>
        <v>E193</v>
      </c>
      <c r="B194" s="2" t="s">
        <v>209</v>
      </c>
      <c r="C194" s="2" t="str">
        <f t="shared" ca="1" si="25"/>
        <v>Jan</v>
      </c>
      <c r="D194" s="2" t="str">
        <f t="shared" ca="1" si="26"/>
        <v>North</v>
      </c>
      <c r="E194" s="2" t="str">
        <f t="shared" ca="1" si="27"/>
        <v>Madhya Pradesh</v>
      </c>
      <c r="F194" s="2" t="str">
        <f t="shared" ca="1" si="28"/>
        <v>Customer Support</v>
      </c>
      <c r="G194" s="2" t="str">
        <f t="shared" ca="1" si="29"/>
        <v>Executive</v>
      </c>
      <c r="H194" s="2" t="str">
        <f t="shared" ca="1" si="30"/>
        <v>Books</v>
      </c>
      <c r="I194" s="2">
        <f t="shared" ca="1" si="31"/>
        <v>61</v>
      </c>
      <c r="J194" s="2">
        <f t="shared" ca="1" si="32"/>
        <v>46787</v>
      </c>
      <c r="K194" s="2">
        <f t="shared" ca="1" si="33"/>
        <v>-4210.83</v>
      </c>
      <c r="L194" s="2">
        <f t="shared" ca="1" si="34"/>
        <v>49295</v>
      </c>
      <c r="M194" s="2" t="str">
        <f t="shared" ca="1" si="35"/>
        <v>No</v>
      </c>
    </row>
    <row r="195" spans="1:13" x14ac:dyDescent="0.25">
      <c r="A195" s="2" t="str">
        <f t="shared" ref="A195:A258" si="36">"E"&amp;TEXT(ROW(A194),"000")</f>
        <v>E194</v>
      </c>
      <c r="B195" s="2" t="s">
        <v>171</v>
      </c>
      <c r="C195" s="2" t="str">
        <f t="shared" ref="C195:C258" ca="1" si="37">CHOOSE(RANDBETWEEN(1,12),"Jan","Feb","Mar","Apr","May","Jun","Jul","Aug","Sep","Oct","Nov","Dec")</f>
        <v>Jan</v>
      </c>
      <c r="D195" s="2" t="str">
        <f t="shared" ref="D195:D258" ca="1" si="38">CHOOSE(RANDBETWEEN(1,4),"North","South","East","West")</f>
        <v>East</v>
      </c>
      <c r="E195" s="2" t="str">
        <f t="shared" ref="E195:E258" ca="1" si="39">CHOOSE(RANDBETWEEN(1,6),"Punjab","Gujarat","Tamil Nadu","Madhya Pradesh","Delhi","West Bengal")</f>
        <v>West Bengal</v>
      </c>
      <c r="F195" s="2" t="str">
        <f t="shared" ref="F195:F258" ca="1" si="40">CHOOSE(RANDBETWEEN(1,6),"Sales","Marketing","Finance","Operations","HR","Customer Support")</f>
        <v>Operations</v>
      </c>
      <c r="G195" s="2" t="str">
        <f t="shared" ref="G195:G258" ca="1" si="41">CHOOSE(RANDBETWEEN(1,4),"Analyst","Executive","Supervisor","Specialist")</f>
        <v>Specialist</v>
      </c>
      <c r="H195" s="2" t="str">
        <f t="shared" ref="H195:H258" ca="1" si="42">CHOOSE(RANDBETWEEN(1,4),"Clothing","Shoes","Electronics","Books")</f>
        <v>Clothing</v>
      </c>
      <c r="I195" s="2">
        <f t="shared" ref="I195:I258" ca="1" si="43">RANDBETWEEN(5,100)</f>
        <v>72</v>
      </c>
      <c r="J195" s="2">
        <f t="shared" ref="J195:J258" ca="1" si="44">I195*RANDBETWEEN(200,1000)</f>
        <v>35424</v>
      </c>
      <c r="K195" s="2">
        <f t="shared" ref="K195:K258" ca="1" si="45">J195*RANDBETWEEN(-10,30)/100</f>
        <v>0</v>
      </c>
      <c r="L195" s="2">
        <f t="shared" ref="L195:L258" ca="1" si="46">RANDBETWEEN(10000,50000)</f>
        <v>15153</v>
      </c>
      <c r="M195" s="2" t="str">
        <f t="shared" ref="M195:M258" ca="1" si="47">IF(J195&gt;=L195,"Yes","No")</f>
        <v>Yes</v>
      </c>
    </row>
    <row r="196" spans="1:13" x14ac:dyDescent="0.25">
      <c r="A196" s="2" t="str">
        <f t="shared" si="36"/>
        <v>E195</v>
      </c>
      <c r="B196" s="2" t="s">
        <v>210</v>
      </c>
      <c r="C196" s="2" t="str">
        <f t="shared" ca="1" si="37"/>
        <v>Feb</v>
      </c>
      <c r="D196" s="2" t="str">
        <f t="shared" ca="1" si="38"/>
        <v>West</v>
      </c>
      <c r="E196" s="2" t="str">
        <f t="shared" ca="1" si="39"/>
        <v>Gujarat</v>
      </c>
      <c r="F196" s="2" t="str">
        <f t="shared" ca="1" si="40"/>
        <v>Finance</v>
      </c>
      <c r="G196" s="2" t="str">
        <f t="shared" ca="1" si="41"/>
        <v>Executive</v>
      </c>
      <c r="H196" s="2" t="str">
        <f t="shared" ca="1" si="42"/>
        <v>Electronics</v>
      </c>
      <c r="I196" s="2">
        <f t="shared" ca="1" si="43"/>
        <v>79</v>
      </c>
      <c r="J196" s="2">
        <f t="shared" ca="1" si="44"/>
        <v>52614</v>
      </c>
      <c r="K196" s="2">
        <f t="shared" ca="1" si="45"/>
        <v>9996.66</v>
      </c>
      <c r="L196" s="2">
        <f t="shared" ca="1" si="46"/>
        <v>13667</v>
      </c>
      <c r="M196" s="2" t="str">
        <f t="shared" ca="1" si="47"/>
        <v>Yes</v>
      </c>
    </row>
    <row r="197" spans="1:13" x14ac:dyDescent="0.25">
      <c r="A197" s="2" t="str">
        <f t="shared" si="36"/>
        <v>E196</v>
      </c>
      <c r="B197" s="2" t="s">
        <v>211</v>
      </c>
      <c r="C197" s="2" t="str">
        <f t="shared" ca="1" si="37"/>
        <v>Jun</v>
      </c>
      <c r="D197" s="2" t="str">
        <f t="shared" ca="1" si="38"/>
        <v>East</v>
      </c>
      <c r="E197" s="2" t="str">
        <f t="shared" ca="1" si="39"/>
        <v>Punjab</v>
      </c>
      <c r="F197" s="2" t="str">
        <f t="shared" ca="1" si="40"/>
        <v>HR</v>
      </c>
      <c r="G197" s="2" t="str">
        <f t="shared" ca="1" si="41"/>
        <v>Analyst</v>
      </c>
      <c r="H197" s="2" t="str">
        <f t="shared" ca="1" si="42"/>
        <v>Clothing</v>
      </c>
      <c r="I197" s="2">
        <f t="shared" ca="1" si="43"/>
        <v>18</v>
      </c>
      <c r="J197" s="2">
        <f t="shared" ca="1" si="44"/>
        <v>13122</v>
      </c>
      <c r="K197" s="2">
        <f t="shared" ca="1" si="45"/>
        <v>-393.66</v>
      </c>
      <c r="L197" s="2">
        <f t="shared" ca="1" si="46"/>
        <v>25311</v>
      </c>
      <c r="M197" s="2" t="str">
        <f t="shared" ca="1" si="47"/>
        <v>No</v>
      </c>
    </row>
    <row r="198" spans="1:13" x14ac:dyDescent="0.25">
      <c r="A198" s="2" t="str">
        <f t="shared" si="36"/>
        <v>E197</v>
      </c>
      <c r="B198" s="2" t="s">
        <v>4</v>
      </c>
      <c r="C198" s="2" t="str">
        <f t="shared" ca="1" si="37"/>
        <v>Sep</v>
      </c>
      <c r="D198" s="2" t="str">
        <f t="shared" ca="1" si="38"/>
        <v>East</v>
      </c>
      <c r="E198" s="2" t="str">
        <f t="shared" ca="1" si="39"/>
        <v>Tamil Nadu</v>
      </c>
      <c r="F198" s="2" t="str">
        <f t="shared" ca="1" si="40"/>
        <v>Sales</v>
      </c>
      <c r="G198" s="2" t="str">
        <f t="shared" ca="1" si="41"/>
        <v>Specialist</v>
      </c>
      <c r="H198" s="2" t="str">
        <f t="shared" ca="1" si="42"/>
        <v>Books</v>
      </c>
      <c r="I198" s="2">
        <f t="shared" ca="1" si="43"/>
        <v>63</v>
      </c>
      <c r="J198" s="2">
        <f t="shared" ca="1" si="44"/>
        <v>46746</v>
      </c>
      <c r="K198" s="2">
        <f t="shared" ca="1" si="45"/>
        <v>7011.9</v>
      </c>
      <c r="L198" s="2">
        <f t="shared" ca="1" si="46"/>
        <v>47384</v>
      </c>
      <c r="M198" s="2" t="str">
        <f t="shared" ca="1" si="47"/>
        <v>No</v>
      </c>
    </row>
    <row r="199" spans="1:13" x14ac:dyDescent="0.25">
      <c r="A199" s="2" t="str">
        <f t="shared" si="36"/>
        <v>E198</v>
      </c>
      <c r="B199" s="2" t="s">
        <v>42</v>
      </c>
      <c r="C199" s="2" t="str">
        <f t="shared" ca="1" si="37"/>
        <v>Aug</v>
      </c>
      <c r="D199" s="2" t="str">
        <f t="shared" ca="1" si="38"/>
        <v>East</v>
      </c>
      <c r="E199" s="2" t="str">
        <f t="shared" ca="1" si="39"/>
        <v>Punjab</v>
      </c>
      <c r="F199" s="2" t="str">
        <f t="shared" ca="1" si="40"/>
        <v>Customer Support</v>
      </c>
      <c r="G199" s="2" t="str">
        <f t="shared" ca="1" si="41"/>
        <v>Specialist</v>
      </c>
      <c r="H199" s="2" t="str">
        <f t="shared" ca="1" si="42"/>
        <v>Books</v>
      </c>
      <c r="I199" s="2">
        <f t="shared" ca="1" si="43"/>
        <v>20</v>
      </c>
      <c r="J199" s="2">
        <f t="shared" ca="1" si="44"/>
        <v>4780</v>
      </c>
      <c r="K199" s="2">
        <f t="shared" ca="1" si="45"/>
        <v>525.79999999999995</v>
      </c>
      <c r="L199" s="2">
        <f t="shared" ca="1" si="46"/>
        <v>28971</v>
      </c>
      <c r="M199" s="2" t="str">
        <f t="shared" ca="1" si="47"/>
        <v>No</v>
      </c>
    </row>
    <row r="200" spans="1:13" x14ac:dyDescent="0.25">
      <c r="A200" s="2" t="str">
        <f t="shared" si="36"/>
        <v>E199</v>
      </c>
      <c r="B200" s="2" t="s">
        <v>212</v>
      </c>
      <c r="C200" s="2" t="str">
        <f t="shared" ca="1" si="37"/>
        <v>Jun</v>
      </c>
      <c r="D200" s="2" t="str">
        <f t="shared" ca="1" si="38"/>
        <v>West</v>
      </c>
      <c r="E200" s="2" t="str">
        <f t="shared" ca="1" si="39"/>
        <v>Delhi</v>
      </c>
      <c r="F200" s="2" t="str">
        <f t="shared" ca="1" si="40"/>
        <v>Operations</v>
      </c>
      <c r="G200" s="2" t="str">
        <f t="shared" ca="1" si="41"/>
        <v>Analyst</v>
      </c>
      <c r="H200" s="2" t="str">
        <f t="shared" ca="1" si="42"/>
        <v>Books</v>
      </c>
      <c r="I200" s="2">
        <f t="shared" ca="1" si="43"/>
        <v>22</v>
      </c>
      <c r="J200" s="2">
        <f t="shared" ca="1" si="44"/>
        <v>11594</v>
      </c>
      <c r="K200" s="2">
        <f t="shared" ca="1" si="45"/>
        <v>3362.26</v>
      </c>
      <c r="L200" s="2">
        <f t="shared" ca="1" si="46"/>
        <v>31646</v>
      </c>
      <c r="M200" s="2" t="str">
        <f t="shared" ca="1" si="47"/>
        <v>No</v>
      </c>
    </row>
    <row r="201" spans="1:13" x14ac:dyDescent="0.25">
      <c r="A201" s="2" t="str">
        <f t="shared" si="36"/>
        <v>E200</v>
      </c>
      <c r="B201" s="2" t="s">
        <v>16</v>
      </c>
      <c r="C201" s="2" t="str">
        <f t="shared" ca="1" si="37"/>
        <v>Jan</v>
      </c>
      <c r="D201" s="2" t="str">
        <f t="shared" ca="1" si="38"/>
        <v>North</v>
      </c>
      <c r="E201" s="2" t="str">
        <f t="shared" ca="1" si="39"/>
        <v>Tamil Nadu</v>
      </c>
      <c r="F201" s="2" t="str">
        <f t="shared" ca="1" si="40"/>
        <v>Operations</v>
      </c>
      <c r="G201" s="2" t="str">
        <f t="shared" ca="1" si="41"/>
        <v>Specialist</v>
      </c>
      <c r="H201" s="2" t="str">
        <f t="shared" ca="1" si="42"/>
        <v>Electronics</v>
      </c>
      <c r="I201" s="2">
        <f t="shared" ca="1" si="43"/>
        <v>11</v>
      </c>
      <c r="J201" s="2">
        <f t="shared" ca="1" si="44"/>
        <v>10934</v>
      </c>
      <c r="K201" s="2">
        <f t="shared" ca="1" si="45"/>
        <v>765.38</v>
      </c>
      <c r="L201" s="2">
        <f t="shared" ca="1" si="46"/>
        <v>49949</v>
      </c>
      <c r="M201" s="2" t="str">
        <f t="shared" ca="1" si="47"/>
        <v>No</v>
      </c>
    </row>
    <row r="202" spans="1:13" x14ac:dyDescent="0.25">
      <c r="A202" s="2" t="str">
        <f t="shared" si="36"/>
        <v>E201</v>
      </c>
      <c r="B202" s="2" t="s">
        <v>213</v>
      </c>
      <c r="C202" s="2" t="str">
        <f t="shared" ca="1" si="37"/>
        <v>Jun</v>
      </c>
      <c r="D202" s="2" t="str">
        <f t="shared" ca="1" si="38"/>
        <v>North</v>
      </c>
      <c r="E202" s="2" t="str">
        <f t="shared" ca="1" si="39"/>
        <v>Delhi</v>
      </c>
      <c r="F202" s="2" t="str">
        <f t="shared" ca="1" si="40"/>
        <v>Sales</v>
      </c>
      <c r="G202" s="2" t="str">
        <f t="shared" ca="1" si="41"/>
        <v>Analyst</v>
      </c>
      <c r="H202" s="2" t="str">
        <f t="shared" ca="1" si="42"/>
        <v>Clothing</v>
      </c>
      <c r="I202" s="2">
        <f t="shared" ca="1" si="43"/>
        <v>98</v>
      </c>
      <c r="J202" s="2">
        <f t="shared" ca="1" si="44"/>
        <v>32438</v>
      </c>
      <c r="K202" s="2">
        <f t="shared" ca="1" si="45"/>
        <v>3568.18</v>
      </c>
      <c r="L202" s="2">
        <f t="shared" ca="1" si="46"/>
        <v>32381</v>
      </c>
      <c r="M202" s="2" t="str">
        <f t="shared" ca="1" si="47"/>
        <v>Yes</v>
      </c>
    </row>
    <row r="203" spans="1:13" x14ac:dyDescent="0.25">
      <c r="A203" s="2" t="str">
        <f t="shared" si="36"/>
        <v>E202</v>
      </c>
      <c r="B203" s="2" t="s">
        <v>43</v>
      </c>
      <c r="C203" s="2" t="str">
        <f t="shared" ca="1" si="37"/>
        <v>Jul</v>
      </c>
      <c r="D203" s="2" t="str">
        <f t="shared" ca="1" si="38"/>
        <v>North</v>
      </c>
      <c r="E203" s="2" t="str">
        <f t="shared" ca="1" si="39"/>
        <v>Delhi</v>
      </c>
      <c r="F203" s="2" t="str">
        <f t="shared" ca="1" si="40"/>
        <v>Marketing</v>
      </c>
      <c r="G203" s="2" t="str">
        <f t="shared" ca="1" si="41"/>
        <v>Specialist</v>
      </c>
      <c r="H203" s="2" t="str">
        <f t="shared" ca="1" si="42"/>
        <v>Books</v>
      </c>
      <c r="I203" s="2">
        <f t="shared" ca="1" si="43"/>
        <v>5</v>
      </c>
      <c r="J203" s="2">
        <f t="shared" ca="1" si="44"/>
        <v>4090</v>
      </c>
      <c r="K203" s="2">
        <f t="shared" ca="1" si="45"/>
        <v>940.7</v>
      </c>
      <c r="L203" s="2">
        <f t="shared" ca="1" si="46"/>
        <v>41347</v>
      </c>
      <c r="M203" s="2" t="str">
        <f t="shared" ca="1" si="47"/>
        <v>No</v>
      </c>
    </row>
    <row r="204" spans="1:13" x14ac:dyDescent="0.25">
      <c r="A204" s="2" t="str">
        <f t="shared" si="36"/>
        <v>E203</v>
      </c>
      <c r="B204" s="2" t="s">
        <v>214</v>
      </c>
      <c r="C204" s="2" t="str">
        <f t="shared" ca="1" si="37"/>
        <v>Feb</v>
      </c>
      <c r="D204" s="2" t="str">
        <f t="shared" ca="1" si="38"/>
        <v>South</v>
      </c>
      <c r="E204" s="2" t="str">
        <f t="shared" ca="1" si="39"/>
        <v>Tamil Nadu</v>
      </c>
      <c r="F204" s="2" t="str">
        <f t="shared" ca="1" si="40"/>
        <v>Finance</v>
      </c>
      <c r="G204" s="2" t="str">
        <f t="shared" ca="1" si="41"/>
        <v>Analyst</v>
      </c>
      <c r="H204" s="2" t="str">
        <f t="shared" ca="1" si="42"/>
        <v>Shoes</v>
      </c>
      <c r="I204" s="2">
        <f t="shared" ca="1" si="43"/>
        <v>54</v>
      </c>
      <c r="J204" s="2">
        <f t="shared" ca="1" si="44"/>
        <v>31428</v>
      </c>
      <c r="K204" s="2">
        <f t="shared" ca="1" si="45"/>
        <v>4399.92</v>
      </c>
      <c r="L204" s="2">
        <f t="shared" ca="1" si="46"/>
        <v>47901</v>
      </c>
      <c r="M204" s="2" t="str">
        <f t="shared" ca="1" si="47"/>
        <v>No</v>
      </c>
    </row>
    <row r="205" spans="1:13" x14ac:dyDescent="0.25">
      <c r="A205" s="2" t="str">
        <f t="shared" si="36"/>
        <v>E204</v>
      </c>
      <c r="B205" s="2" t="s">
        <v>215</v>
      </c>
      <c r="C205" s="2" t="str">
        <f t="shared" ca="1" si="37"/>
        <v>Jun</v>
      </c>
      <c r="D205" s="2" t="str">
        <f t="shared" ca="1" si="38"/>
        <v>South</v>
      </c>
      <c r="E205" s="2" t="str">
        <f t="shared" ca="1" si="39"/>
        <v>Tamil Nadu</v>
      </c>
      <c r="F205" s="2" t="str">
        <f t="shared" ca="1" si="40"/>
        <v>HR</v>
      </c>
      <c r="G205" s="2" t="str">
        <f t="shared" ca="1" si="41"/>
        <v>Analyst</v>
      </c>
      <c r="H205" s="2" t="str">
        <f t="shared" ca="1" si="42"/>
        <v>Electronics</v>
      </c>
      <c r="I205" s="2">
        <f t="shared" ca="1" si="43"/>
        <v>59</v>
      </c>
      <c r="J205" s="2">
        <f t="shared" ca="1" si="44"/>
        <v>29854</v>
      </c>
      <c r="K205" s="2">
        <f t="shared" ca="1" si="45"/>
        <v>298.54000000000002</v>
      </c>
      <c r="L205" s="2">
        <f t="shared" ca="1" si="46"/>
        <v>17788</v>
      </c>
      <c r="M205" s="2" t="str">
        <f t="shared" ca="1" si="47"/>
        <v>Yes</v>
      </c>
    </row>
    <row r="206" spans="1:13" x14ac:dyDescent="0.25">
      <c r="A206" s="2" t="str">
        <f t="shared" si="36"/>
        <v>E205</v>
      </c>
      <c r="B206" s="2" t="s">
        <v>216</v>
      </c>
      <c r="C206" s="2" t="str">
        <f t="shared" ca="1" si="37"/>
        <v>Apr</v>
      </c>
      <c r="D206" s="2" t="str">
        <f t="shared" ca="1" si="38"/>
        <v>South</v>
      </c>
      <c r="E206" s="2" t="str">
        <f t="shared" ca="1" si="39"/>
        <v>Delhi</v>
      </c>
      <c r="F206" s="2" t="str">
        <f t="shared" ca="1" si="40"/>
        <v>Sales</v>
      </c>
      <c r="G206" s="2" t="str">
        <f t="shared" ca="1" si="41"/>
        <v>Supervisor</v>
      </c>
      <c r="H206" s="2" t="str">
        <f t="shared" ca="1" si="42"/>
        <v>Books</v>
      </c>
      <c r="I206" s="2">
        <f t="shared" ca="1" si="43"/>
        <v>81</v>
      </c>
      <c r="J206" s="2">
        <f t="shared" ca="1" si="44"/>
        <v>16686</v>
      </c>
      <c r="K206" s="2">
        <f t="shared" ca="1" si="45"/>
        <v>3170.34</v>
      </c>
      <c r="L206" s="2">
        <f t="shared" ca="1" si="46"/>
        <v>39469</v>
      </c>
      <c r="M206" s="2" t="str">
        <f t="shared" ca="1" si="47"/>
        <v>No</v>
      </c>
    </row>
    <row r="207" spans="1:13" x14ac:dyDescent="0.25">
      <c r="A207" s="2" t="str">
        <f t="shared" si="36"/>
        <v>E206</v>
      </c>
      <c r="B207" s="2" t="s">
        <v>53</v>
      </c>
      <c r="C207" s="2" t="str">
        <f t="shared" ca="1" si="37"/>
        <v>Jun</v>
      </c>
      <c r="D207" s="2" t="str">
        <f t="shared" ca="1" si="38"/>
        <v>North</v>
      </c>
      <c r="E207" s="2" t="str">
        <f t="shared" ca="1" si="39"/>
        <v>Tamil Nadu</v>
      </c>
      <c r="F207" s="2" t="str">
        <f t="shared" ca="1" si="40"/>
        <v>Operations</v>
      </c>
      <c r="G207" s="2" t="str">
        <f t="shared" ca="1" si="41"/>
        <v>Supervisor</v>
      </c>
      <c r="H207" s="2" t="str">
        <f t="shared" ca="1" si="42"/>
        <v>Shoes</v>
      </c>
      <c r="I207" s="2">
        <f t="shared" ca="1" si="43"/>
        <v>66</v>
      </c>
      <c r="J207" s="2">
        <f t="shared" ca="1" si="44"/>
        <v>14322</v>
      </c>
      <c r="K207" s="2">
        <f t="shared" ca="1" si="45"/>
        <v>3723.72</v>
      </c>
      <c r="L207" s="2">
        <f t="shared" ca="1" si="46"/>
        <v>40103</v>
      </c>
      <c r="M207" s="2" t="str">
        <f t="shared" ca="1" si="47"/>
        <v>No</v>
      </c>
    </row>
    <row r="208" spans="1:13" x14ac:dyDescent="0.25">
      <c r="A208" s="2" t="str">
        <f t="shared" si="36"/>
        <v>E207</v>
      </c>
      <c r="B208" s="2" t="s">
        <v>217</v>
      </c>
      <c r="C208" s="2" t="str">
        <f t="shared" ca="1" si="37"/>
        <v>Oct</v>
      </c>
      <c r="D208" s="2" t="str">
        <f t="shared" ca="1" si="38"/>
        <v>North</v>
      </c>
      <c r="E208" s="2" t="str">
        <f t="shared" ca="1" si="39"/>
        <v>Tamil Nadu</v>
      </c>
      <c r="F208" s="2" t="str">
        <f t="shared" ca="1" si="40"/>
        <v>Sales</v>
      </c>
      <c r="G208" s="2" t="str">
        <f t="shared" ca="1" si="41"/>
        <v>Supervisor</v>
      </c>
      <c r="H208" s="2" t="str">
        <f t="shared" ca="1" si="42"/>
        <v>Shoes</v>
      </c>
      <c r="I208" s="2">
        <f t="shared" ca="1" si="43"/>
        <v>24</v>
      </c>
      <c r="J208" s="2">
        <f t="shared" ca="1" si="44"/>
        <v>22728</v>
      </c>
      <c r="K208" s="2">
        <f t="shared" ca="1" si="45"/>
        <v>6363.84</v>
      </c>
      <c r="L208" s="2">
        <f t="shared" ca="1" si="46"/>
        <v>12926</v>
      </c>
      <c r="M208" s="2" t="str">
        <f t="shared" ca="1" si="47"/>
        <v>Yes</v>
      </c>
    </row>
    <row r="209" spans="1:13" x14ac:dyDescent="0.25">
      <c r="A209" s="2" t="str">
        <f t="shared" si="36"/>
        <v>E208</v>
      </c>
      <c r="B209" s="2" t="s">
        <v>97</v>
      </c>
      <c r="C209" s="2" t="str">
        <f t="shared" ca="1" si="37"/>
        <v>Jan</v>
      </c>
      <c r="D209" s="2" t="str">
        <f t="shared" ca="1" si="38"/>
        <v>East</v>
      </c>
      <c r="E209" s="2" t="str">
        <f t="shared" ca="1" si="39"/>
        <v>West Bengal</v>
      </c>
      <c r="F209" s="2" t="str">
        <f t="shared" ca="1" si="40"/>
        <v>HR</v>
      </c>
      <c r="G209" s="2" t="str">
        <f t="shared" ca="1" si="41"/>
        <v>Supervisor</v>
      </c>
      <c r="H209" s="2" t="str">
        <f t="shared" ca="1" si="42"/>
        <v>Clothing</v>
      </c>
      <c r="I209" s="2">
        <f t="shared" ca="1" si="43"/>
        <v>58</v>
      </c>
      <c r="J209" s="2">
        <f t="shared" ca="1" si="44"/>
        <v>39208</v>
      </c>
      <c r="K209" s="2">
        <f t="shared" ca="1" si="45"/>
        <v>10978.24</v>
      </c>
      <c r="L209" s="2">
        <f t="shared" ca="1" si="46"/>
        <v>26040</v>
      </c>
      <c r="M209" s="2" t="str">
        <f t="shared" ca="1" si="47"/>
        <v>Yes</v>
      </c>
    </row>
    <row r="210" spans="1:13" x14ac:dyDescent="0.25">
      <c r="A210" s="2" t="str">
        <f t="shared" si="36"/>
        <v>E209</v>
      </c>
      <c r="B210" s="2" t="s">
        <v>24</v>
      </c>
      <c r="C210" s="2" t="str">
        <f t="shared" ca="1" si="37"/>
        <v>Nov</v>
      </c>
      <c r="D210" s="2" t="str">
        <f t="shared" ca="1" si="38"/>
        <v>West</v>
      </c>
      <c r="E210" s="2" t="str">
        <f t="shared" ca="1" si="39"/>
        <v>Tamil Nadu</v>
      </c>
      <c r="F210" s="2" t="str">
        <f t="shared" ca="1" si="40"/>
        <v>Customer Support</v>
      </c>
      <c r="G210" s="2" t="str">
        <f t="shared" ca="1" si="41"/>
        <v>Executive</v>
      </c>
      <c r="H210" s="2" t="str">
        <f t="shared" ca="1" si="42"/>
        <v>Books</v>
      </c>
      <c r="I210" s="2">
        <f t="shared" ca="1" si="43"/>
        <v>17</v>
      </c>
      <c r="J210" s="2">
        <f t="shared" ca="1" si="44"/>
        <v>14127</v>
      </c>
      <c r="K210" s="2">
        <f t="shared" ca="1" si="45"/>
        <v>2825.4</v>
      </c>
      <c r="L210" s="2">
        <f t="shared" ca="1" si="46"/>
        <v>15823</v>
      </c>
      <c r="M210" s="2" t="str">
        <f t="shared" ca="1" si="47"/>
        <v>No</v>
      </c>
    </row>
    <row r="211" spans="1:13" x14ac:dyDescent="0.25">
      <c r="A211" s="2" t="str">
        <f t="shared" si="36"/>
        <v>E210</v>
      </c>
      <c r="B211" s="2" t="s">
        <v>218</v>
      </c>
      <c r="C211" s="2" t="str">
        <f t="shared" ca="1" si="37"/>
        <v>Oct</v>
      </c>
      <c r="D211" s="2" t="str">
        <f t="shared" ca="1" si="38"/>
        <v>South</v>
      </c>
      <c r="E211" s="2" t="str">
        <f t="shared" ca="1" si="39"/>
        <v>Delhi</v>
      </c>
      <c r="F211" s="2" t="str">
        <f t="shared" ca="1" si="40"/>
        <v>Marketing</v>
      </c>
      <c r="G211" s="2" t="str">
        <f t="shared" ca="1" si="41"/>
        <v>Supervisor</v>
      </c>
      <c r="H211" s="2" t="str">
        <f t="shared" ca="1" si="42"/>
        <v>Electronics</v>
      </c>
      <c r="I211" s="2">
        <f t="shared" ca="1" si="43"/>
        <v>90</v>
      </c>
      <c r="J211" s="2">
        <f t="shared" ca="1" si="44"/>
        <v>38880</v>
      </c>
      <c r="K211" s="2">
        <f t="shared" ca="1" si="45"/>
        <v>9720</v>
      </c>
      <c r="L211" s="2">
        <f t="shared" ca="1" si="46"/>
        <v>19114</v>
      </c>
      <c r="M211" s="2" t="str">
        <f t="shared" ca="1" si="47"/>
        <v>Yes</v>
      </c>
    </row>
    <row r="212" spans="1:13" x14ac:dyDescent="0.25">
      <c r="A212" s="2" t="str">
        <f t="shared" si="36"/>
        <v>E211</v>
      </c>
      <c r="B212" s="2" t="s">
        <v>219</v>
      </c>
      <c r="C212" s="2" t="str">
        <f t="shared" ca="1" si="37"/>
        <v>Apr</v>
      </c>
      <c r="D212" s="2" t="str">
        <f t="shared" ca="1" si="38"/>
        <v>North</v>
      </c>
      <c r="E212" s="2" t="str">
        <f t="shared" ca="1" si="39"/>
        <v>Punjab</v>
      </c>
      <c r="F212" s="2" t="str">
        <f t="shared" ca="1" si="40"/>
        <v>Sales</v>
      </c>
      <c r="G212" s="2" t="str">
        <f t="shared" ca="1" si="41"/>
        <v>Analyst</v>
      </c>
      <c r="H212" s="2" t="str">
        <f t="shared" ca="1" si="42"/>
        <v>Electronics</v>
      </c>
      <c r="I212" s="2">
        <f t="shared" ca="1" si="43"/>
        <v>75</v>
      </c>
      <c r="J212" s="2">
        <f t="shared" ca="1" si="44"/>
        <v>42000</v>
      </c>
      <c r="K212" s="2">
        <f t="shared" ca="1" si="45"/>
        <v>6300</v>
      </c>
      <c r="L212" s="2">
        <f t="shared" ca="1" si="46"/>
        <v>28595</v>
      </c>
      <c r="M212" s="2" t="str">
        <f t="shared" ca="1" si="47"/>
        <v>Yes</v>
      </c>
    </row>
    <row r="213" spans="1:13" x14ac:dyDescent="0.25">
      <c r="A213" s="2" t="str">
        <f t="shared" si="36"/>
        <v>E212</v>
      </c>
      <c r="B213" s="2" t="s">
        <v>220</v>
      </c>
      <c r="C213" s="2" t="str">
        <f t="shared" ca="1" si="37"/>
        <v>Feb</v>
      </c>
      <c r="D213" s="2" t="str">
        <f t="shared" ca="1" si="38"/>
        <v>South</v>
      </c>
      <c r="E213" s="2" t="str">
        <f t="shared" ca="1" si="39"/>
        <v>Punjab</v>
      </c>
      <c r="F213" s="2" t="str">
        <f t="shared" ca="1" si="40"/>
        <v>Operations</v>
      </c>
      <c r="G213" s="2" t="str">
        <f t="shared" ca="1" si="41"/>
        <v>Executive</v>
      </c>
      <c r="H213" s="2" t="str">
        <f t="shared" ca="1" si="42"/>
        <v>Electronics</v>
      </c>
      <c r="I213" s="2">
        <f t="shared" ca="1" si="43"/>
        <v>96</v>
      </c>
      <c r="J213" s="2">
        <f t="shared" ca="1" si="44"/>
        <v>53088</v>
      </c>
      <c r="K213" s="2">
        <f t="shared" ca="1" si="45"/>
        <v>530.88</v>
      </c>
      <c r="L213" s="2">
        <f t="shared" ca="1" si="46"/>
        <v>35061</v>
      </c>
      <c r="M213" s="2" t="str">
        <f t="shared" ca="1" si="47"/>
        <v>Yes</v>
      </c>
    </row>
    <row r="214" spans="1:13" x14ac:dyDescent="0.25">
      <c r="A214" s="2" t="str">
        <f t="shared" si="36"/>
        <v>E213</v>
      </c>
      <c r="B214" s="2" t="s">
        <v>9</v>
      </c>
      <c r="C214" s="2" t="str">
        <f t="shared" ca="1" si="37"/>
        <v>Nov</v>
      </c>
      <c r="D214" s="2" t="str">
        <f t="shared" ca="1" si="38"/>
        <v>North</v>
      </c>
      <c r="E214" s="2" t="str">
        <f t="shared" ca="1" si="39"/>
        <v>West Bengal</v>
      </c>
      <c r="F214" s="2" t="str">
        <f t="shared" ca="1" si="40"/>
        <v>Sales</v>
      </c>
      <c r="G214" s="2" t="str">
        <f t="shared" ca="1" si="41"/>
        <v>Supervisor</v>
      </c>
      <c r="H214" s="2" t="str">
        <f t="shared" ca="1" si="42"/>
        <v>Clothing</v>
      </c>
      <c r="I214" s="2">
        <f t="shared" ca="1" si="43"/>
        <v>82</v>
      </c>
      <c r="J214" s="2">
        <f t="shared" ca="1" si="44"/>
        <v>61582</v>
      </c>
      <c r="K214" s="2">
        <f t="shared" ca="1" si="45"/>
        <v>6158.2</v>
      </c>
      <c r="L214" s="2">
        <f t="shared" ca="1" si="46"/>
        <v>18648</v>
      </c>
      <c r="M214" s="2" t="str">
        <f t="shared" ca="1" si="47"/>
        <v>Yes</v>
      </c>
    </row>
    <row r="215" spans="1:13" x14ac:dyDescent="0.25">
      <c r="A215" s="2" t="str">
        <f t="shared" si="36"/>
        <v>E214</v>
      </c>
      <c r="B215" s="2" t="s">
        <v>221</v>
      </c>
      <c r="C215" s="2" t="str">
        <f t="shared" ca="1" si="37"/>
        <v>Jul</v>
      </c>
      <c r="D215" s="2" t="str">
        <f t="shared" ca="1" si="38"/>
        <v>South</v>
      </c>
      <c r="E215" s="2" t="str">
        <f t="shared" ca="1" si="39"/>
        <v>Punjab</v>
      </c>
      <c r="F215" s="2" t="str">
        <f t="shared" ca="1" si="40"/>
        <v>HR</v>
      </c>
      <c r="G215" s="2" t="str">
        <f t="shared" ca="1" si="41"/>
        <v>Executive</v>
      </c>
      <c r="H215" s="2" t="str">
        <f t="shared" ca="1" si="42"/>
        <v>Books</v>
      </c>
      <c r="I215" s="2">
        <f t="shared" ca="1" si="43"/>
        <v>33</v>
      </c>
      <c r="J215" s="2">
        <f t="shared" ca="1" si="44"/>
        <v>12309</v>
      </c>
      <c r="K215" s="2">
        <f t="shared" ca="1" si="45"/>
        <v>123.09</v>
      </c>
      <c r="L215" s="2">
        <f t="shared" ca="1" si="46"/>
        <v>40374</v>
      </c>
      <c r="M215" s="2" t="str">
        <f t="shared" ca="1" si="47"/>
        <v>No</v>
      </c>
    </row>
    <row r="216" spans="1:13" x14ac:dyDescent="0.25">
      <c r="A216" s="2" t="str">
        <f t="shared" si="36"/>
        <v>E215</v>
      </c>
      <c r="B216" s="2" t="s">
        <v>55</v>
      </c>
      <c r="C216" s="2" t="str">
        <f t="shared" ca="1" si="37"/>
        <v>Apr</v>
      </c>
      <c r="D216" s="2" t="str">
        <f t="shared" ca="1" si="38"/>
        <v>West</v>
      </c>
      <c r="E216" s="2" t="str">
        <f t="shared" ca="1" si="39"/>
        <v>Tamil Nadu</v>
      </c>
      <c r="F216" s="2" t="str">
        <f t="shared" ca="1" si="40"/>
        <v>Sales</v>
      </c>
      <c r="G216" s="2" t="str">
        <f t="shared" ca="1" si="41"/>
        <v>Specialist</v>
      </c>
      <c r="H216" s="2" t="str">
        <f t="shared" ca="1" si="42"/>
        <v>Shoes</v>
      </c>
      <c r="I216" s="2">
        <f t="shared" ca="1" si="43"/>
        <v>73</v>
      </c>
      <c r="J216" s="2">
        <f t="shared" ca="1" si="44"/>
        <v>27229</v>
      </c>
      <c r="K216" s="2">
        <f t="shared" ca="1" si="45"/>
        <v>4356.6400000000003</v>
      </c>
      <c r="L216" s="2">
        <f t="shared" ca="1" si="46"/>
        <v>36874</v>
      </c>
      <c r="M216" s="2" t="str">
        <f t="shared" ca="1" si="47"/>
        <v>No</v>
      </c>
    </row>
    <row r="217" spans="1:13" x14ac:dyDescent="0.25">
      <c r="A217" s="2" t="str">
        <f t="shared" si="36"/>
        <v>E216</v>
      </c>
      <c r="B217" s="2" t="s">
        <v>222</v>
      </c>
      <c r="C217" s="2" t="str">
        <f t="shared" ca="1" si="37"/>
        <v>Feb</v>
      </c>
      <c r="D217" s="2" t="str">
        <f t="shared" ca="1" si="38"/>
        <v>North</v>
      </c>
      <c r="E217" s="2" t="str">
        <f t="shared" ca="1" si="39"/>
        <v>West Bengal</v>
      </c>
      <c r="F217" s="2" t="str">
        <f t="shared" ca="1" si="40"/>
        <v>Customer Support</v>
      </c>
      <c r="G217" s="2" t="str">
        <f t="shared" ca="1" si="41"/>
        <v>Executive</v>
      </c>
      <c r="H217" s="2" t="str">
        <f t="shared" ca="1" si="42"/>
        <v>Electronics</v>
      </c>
      <c r="I217" s="2">
        <f t="shared" ca="1" si="43"/>
        <v>31</v>
      </c>
      <c r="J217" s="2">
        <f t="shared" ca="1" si="44"/>
        <v>11594</v>
      </c>
      <c r="K217" s="2">
        <f t="shared" ca="1" si="45"/>
        <v>-231.88</v>
      </c>
      <c r="L217" s="2">
        <f t="shared" ca="1" si="46"/>
        <v>30518</v>
      </c>
      <c r="M217" s="2" t="str">
        <f t="shared" ca="1" si="47"/>
        <v>No</v>
      </c>
    </row>
    <row r="218" spans="1:13" x14ac:dyDescent="0.25">
      <c r="A218" s="2" t="str">
        <f t="shared" si="36"/>
        <v>E217</v>
      </c>
      <c r="B218" s="2" t="s">
        <v>223</v>
      </c>
      <c r="C218" s="2" t="str">
        <f t="shared" ca="1" si="37"/>
        <v>May</v>
      </c>
      <c r="D218" s="2" t="str">
        <f t="shared" ca="1" si="38"/>
        <v>South</v>
      </c>
      <c r="E218" s="2" t="str">
        <f t="shared" ca="1" si="39"/>
        <v>Madhya Pradesh</v>
      </c>
      <c r="F218" s="2" t="str">
        <f t="shared" ca="1" si="40"/>
        <v>Operations</v>
      </c>
      <c r="G218" s="2" t="str">
        <f t="shared" ca="1" si="41"/>
        <v>Specialist</v>
      </c>
      <c r="H218" s="2" t="str">
        <f t="shared" ca="1" si="42"/>
        <v>Books</v>
      </c>
      <c r="I218" s="2">
        <f t="shared" ca="1" si="43"/>
        <v>25</v>
      </c>
      <c r="J218" s="2">
        <f t="shared" ca="1" si="44"/>
        <v>22125</v>
      </c>
      <c r="K218" s="2">
        <f t="shared" ca="1" si="45"/>
        <v>442.5</v>
      </c>
      <c r="L218" s="2">
        <f t="shared" ca="1" si="46"/>
        <v>23449</v>
      </c>
      <c r="M218" s="2" t="str">
        <f t="shared" ca="1" si="47"/>
        <v>No</v>
      </c>
    </row>
    <row r="219" spans="1:13" x14ac:dyDescent="0.25">
      <c r="A219" s="2" t="str">
        <f t="shared" si="36"/>
        <v>E218</v>
      </c>
      <c r="B219" s="2" t="s">
        <v>224</v>
      </c>
      <c r="C219" s="2" t="str">
        <f t="shared" ca="1" si="37"/>
        <v>Jan</v>
      </c>
      <c r="D219" s="2" t="str">
        <f t="shared" ca="1" si="38"/>
        <v>North</v>
      </c>
      <c r="E219" s="2" t="str">
        <f t="shared" ca="1" si="39"/>
        <v>West Bengal</v>
      </c>
      <c r="F219" s="2" t="str">
        <f t="shared" ca="1" si="40"/>
        <v>Operations</v>
      </c>
      <c r="G219" s="2" t="str">
        <f t="shared" ca="1" si="41"/>
        <v>Specialist</v>
      </c>
      <c r="H219" s="2" t="str">
        <f t="shared" ca="1" si="42"/>
        <v>Clothing</v>
      </c>
      <c r="I219" s="2">
        <f t="shared" ca="1" si="43"/>
        <v>61</v>
      </c>
      <c r="J219" s="2">
        <f t="shared" ca="1" si="44"/>
        <v>17995</v>
      </c>
      <c r="K219" s="2">
        <f t="shared" ca="1" si="45"/>
        <v>-1439.6</v>
      </c>
      <c r="L219" s="2">
        <f t="shared" ca="1" si="46"/>
        <v>31978</v>
      </c>
      <c r="M219" s="2" t="str">
        <f t="shared" ca="1" si="47"/>
        <v>No</v>
      </c>
    </row>
    <row r="220" spans="1:13" x14ac:dyDescent="0.25">
      <c r="A220" s="2" t="str">
        <f t="shared" si="36"/>
        <v>E219</v>
      </c>
      <c r="B220" s="2" t="s">
        <v>225</v>
      </c>
      <c r="C220" s="2" t="str">
        <f t="shared" ca="1" si="37"/>
        <v>Mar</v>
      </c>
      <c r="D220" s="2" t="str">
        <f t="shared" ca="1" si="38"/>
        <v>East</v>
      </c>
      <c r="E220" s="2" t="str">
        <f t="shared" ca="1" si="39"/>
        <v>Delhi</v>
      </c>
      <c r="F220" s="2" t="str">
        <f t="shared" ca="1" si="40"/>
        <v>Operations</v>
      </c>
      <c r="G220" s="2" t="str">
        <f t="shared" ca="1" si="41"/>
        <v>Executive</v>
      </c>
      <c r="H220" s="2" t="str">
        <f t="shared" ca="1" si="42"/>
        <v>Books</v>
      </c>
      <c r="I220" s="2">
        <f t="shared" ca="1" si="43"/>
        <v>56</v>
      </c>
      <c r="J220" s="2">
        <f t="shared" ca="1" si="44"/>
        <v>13944</v>
      </c>
      <c r="K220" s="2">
        <f t="shared" ca="1" si="45"/>
        <v>3486</v>
      </c>
      <c r="L220" s="2">
        <f t="shared" ca="1" si="46"/>
        <v>16761</v>
      </c>
      <c r="M220" s="2" t="str">
        <f t="shared" ca="1" si="47"/>
        <v>No</v>
      </c>
    </row>
    <row r="221" spans="1:13" x14ac:dyDescent="0.25">
      <c r="A221" s="2" t="str">
        <f t="shared" si="36"/>
        <v>E220</v>
      </c>
      <c r="B221" s="2" t="s">
        <v>226</v>
      </c>
      <c r="C221" s="2" t="str">
        <f t="shared" ca="1" si="37"/>
        <v>Sep</v>
      </c>
      <c r="D221" s="2" t="str">
        <f t="shared" ca="1" si="38"/>
        <v>East</v>
      </c>
      <c r="E221" s="2" t="str">
        <f t="shared" ca="1" si="39"/>
        <v>Madhya Pradesh</v>
      </c>
      <c r="F221" s="2" t="str">
        <f t="shared" ca="1" si="40"/>
        <v>Customer Support</v>
      </c>
      <c r="G221" s="2" t="str">
        <f t="shared" ca="1" si="41"/>
        <v>Specialist</v>
      </c>
      <c r="H221" s="2" t="str">
        <f t="shared" ca="1" si="42"/>
        <v>Clothing</v>
      </c>
      <c r="I221" s="2">
        <f t="shared" ca="1" si="43"/>
        <v>89</v>
      </c>
      <c r="J221" s="2">
        <f t="shared" ca="1" si="44"/>
        <v>49751</v>
      </c>
      <c r="K221" s="2">
        <f t="shared" ca="1" si="45"/>
        <v>5472.61</v>
      </c>
      <c r="L221" s="2">
        <f t="shared" ca="1" si="46"/>
        <v>13351</v>
      </c>
      <c r="M221" s="2" t="str">
        <f t="shared" ca="1" si="47"/>
        <v>Yes</v>
      </c>
    </row>
    <row r="222" spans="1:13" x14ac:dyDescent="0.25">
      <c r="A222" s="2" t="str">
        <f t="shared" si="36"/>
        <v>E221</v>
      </c>
      <c r="B222" s="2" t="s">
        <v>227</v>
      </c>
      <c r="C222" s="2" t="str">
        <f t="shared" ca="1" si="37"/>
        <v>Aug</v>
      </c>
      <c r="D222" s="2" t="str">
        <f t="shared" ca="1" si="38"/>
        <v>North</v>
      </c>
      <c r="E222" s="2" t="str">
        <f t="shared" ca="1" si="39"/>
        <v>Punjab</v>
      </c>
      <c r="F222" s="2" t="str">
        <f t="shared" ca="1" si="40"/>
        <v>HR</v>
      </c>
      <c r="G222" s="2" t="str">
        <f t="shared" ca="1" si="41"/>
        <v>Analyst</v>
      </c>
      <c r="H222" s="2" t="str">
        <f t="shared" ca="1" si="42"/>
        <v>Clothing</v>
      </c>
      <c r="I222" s="2">
        <f t="shared" ca="1" si="43"/>
        <v>67</v>
      </c>
      <c r="J222" s="2">
        <f t="shared" ca="1" si="44"/>
        <v>53801</v>
      </c>
      <c r="K222" s="2">
        <f t="shared" ca="1" si="45"/>
        <v>3228.06</v>
      </c>
      <c r="L222" s="2">
        <f t="shared" ca="1" si="46"/>
        <v>33231</v>
      </c>
      <c r="M222" s="2" t="str">
        <f t="shared" ca="1" si="47"/>
        <v>Yes</v>
      </c>
    </row>
    <row r="223" spans="1:13" x14ac:dyDescent="0.25">
      <c r="A223" s="2" t="str">
        <f t="shared" si="36"/>
        <v>E222</v>
      </c>
      <c r="B223" s="2" t="s">
        <v>228</v>
      </c>
      <c r="C223" s="2" t="str">
        <f t="shared" ca="1" si="37"/>
        <v>Jul</v>
      </c>
      <c r="D223" s="2" t="str">
        <f t="shared" ca="1" si="38"/>
        <v>North</v>
      </c>
      <c r="E223" s="2" t="str">
        <f t="shared" ca="1" si="39"/>
        <v>West Bengal</v>
      </c>
      <c r="F223" s="2" t="str">
        <f t="shared" ca="1" si="40"/>
        <v>Operations</v>
      </c>
      <c r="G223" s="2" t="str">
        <f t="shared" ca="1" si="41"/>
        <v>Specialist</v>
      </c>
      <c r="H223" s="2" t="str">
        <f t="shared" ca="1" si="42"/>
        <v>Clothing</v>
      </c>
      <c r="I223" s="2">
        <f t="shared" ca="1" si="43"/>
        <v>18</v>
      </c>
      <c r="J223" s="2">
        <f t="shared" ca="1" si="44"/>
        <v>14508</v>
      </c>
      <c r="K223" s="2">
        <f t="shared" ca="1" si="45"/>
        <v>2176.1999999999998</v>
      </c>
      <c r="L223" s="2">
        <f t="shared" ca="1" si="46"/>
        <v>41739</v>
      </c>
      <c r="M223" s="2" t="str">
        <f t="shared" ca="1" si="47"/>
        <v>No</v>
      </c>
    </row>
    <row r="224" spans="1:13" x14ac:dyDescent="0.25">
      <c r="A224" s="2" t="str">
        <f t="shared" si="36"/>
        <v>E223</v>
      </c>
      <c r="B224" s="2" t="s">
        <v>54</v>
      </c>
      <c r="C224" s="2" t="str">
        <f t="shared" ca="1" si="37"/>
        <v>Mar</v>
      </c>
      <c r="D224" s="2" t="str">
        <f t="shared" ca="1" si="38"/>
        <v>North</v>
      </c>
      <c r="E224" s="2" t="str">
        <f t="shared" ca="1" si="39"/>
        <v>Tamil Nadu</v>
      </c>
      <c r="F224" s="2" t="str">
        <f t="shared" ca="1" si="40"/>
        <v>Customer Support</v>
      </c>
      <c r="G224" s="2" t="str">
        <f t="shared" ca="1" si="41"/>
        <v>Executive</v>
      </c>
      <c r="H224" s="2" t="str">
        <f t="shared" ca="1" si="42"/>
        <v>Books</v>
      </c>
      <c r="I224" s="2">
        <f t="shared" ca="1" si="43"/>
        <v>47</v>
      </c>
      <c r="J224" s="2">
        <f t="shared" ca="1" si="44"/>
        <v>36895</v>
      </c>
      <c r="K224" s="2">
        <f t="shared" ca="1" si="45"/>
        <v>0</v>
      </c>
      <c r="L224" s="2">
        <f t="shared" ca="1" si="46"/>
        <v>16341</v>
      </c>
      <c r="M224" s="2" t="str">
        <f t="shared" ca="1" si="47"/>
        <v>Yes</v>
      </c>
    </row>
    <row r="225" spans="1:13" x14ac:dyDescent="0.25">
      <c r="A225" s="2" t="str">
        <f t="shared" si="36"/>
        <v>E224</v>
      </c>
      <c r="B225" s="2" t="s">
        <v>229</v>
      </c>
      <c r="C225" s="2" t="str">
        <f t="shared" ca="1" si="37"/>
        <v>Jan</v>
      </c>
      <c r="D225" s="2" t="str">
        <f t="shared" ca="1" si="38"/>
        <v>East</v>
      </c>
      <c r="E225" s="2" t="str">
        <f t="shared" ca="1" si="39"/>
        <v>Delhi</v>
      </c>
      <c r="F225" s="2" t="str">
        <f t="shared" ca="1" si="40"/>
        <v>Operations</v>
      </c>
      <c r="G225" s="2" t="str">
        <f t="shared" ca="1" si="41"/>
        <v>Executive</v>
      </c>
      <c r="H225" s="2" t="str">
        <f t="shared" ca="1" si="42"/>
        <v>Electronics</v>
      </c>
      <c r="I225" s="2">
        <f t="shared" ca="1" si="43"/>
        <v>55</v>
      </c>
      <c r="J225" s="2">
        <f t="shared" ca="1" si="44"/>
        <v>11165</v>
      </c>
      <c r="K225" s="2">
        <f t="shared" ca="1" si="45"/>
        <v>3014.55</v>
      </c>
      <c r="L225" s="2">
        <f t="shared" ca="1" si="46"/>
        <v>43435</v>
      </c>
      <c r="M225" s="2" t="str">
        <f t="shared" ca="1" si="47"/>
        <v>No</v>
      </c>
    </row>
    <row r="226" spans="1:13" x14ac:dyDescent="0.25">
      <c r="A226" s="2" t="str">
        <f t="shared" si="36"/>
        <v>E225</v>
      </c>
      <c r="B226" s="2" t="s">
        <v>230</v>
      </c>
      <c r="C226" s="2" t="str">
        <f t="shared" ca="1" si="37"/>
        <v>Oct</v>
      </c>
      <c r="D226" s="2" t="str">
        <f t="shared" ca="1" si="38"/>
        <v>East</v>
      </c>
      <c r="E226" s="2" t="str">
        <f t="shared" ca="1" si="39"/>
        <v>Madhya Pradesh</v>
      </c>
      <c r="F226" s="2" t="str">
        <f t="shared" ca="1" si="40"/>
        <v>Customer Support</v>
      </c>
      <c r="G226" s="2" t="str">
        <f t="shared" ca="1" si="41"/>
        <v>Specialist</v>
      </c>
      <c r="H226" s="2" t="str">
        <f t="shared" ca="1" si="42"/>
        <v>Books</v>
      </c>
      <c r="I226" s="2">
        <f t="shared" ca="1" si="43"/>
        <v>85</v>
      </c>
      <c r="J226" s="2">
        <f t="shared" ca="1" si="44"/>
        <v>45815</v>
      </c>
      <c r="K226" s="2">
        <f t="shared" ca="1" si="45"/>
        <v>4581.5</v>
      </c>
      <c r="L226" s="2">
        <f t="shared" ca="1" si="46"/>
        <v>31308</v>
      </c>
      <c r="M226" s="2" t="str">
        <f t="shared" ca="1" si="47"/>
        <v>Yes</v>
      </c>
    </row>
    <row r="227" spans="1:13" x14ac:dyDescent="0.25">
      <c r="A227" s="2" t="str">
        <f t="shared" si="36"/>
        <v>E226</v>
      </c>
      <c r="B227" s="2" t="s">
        <v>231</v>
      </c>
      <c r="C227" s="2" t="str">
        <f t="shared" ca="1" si="37"/>
        <v>Dec</v>
      </c>
      <c r="D227" s="2" t="str">
        <f t="shared" ca="1" si="38"/>
        <v>South</v>
      </c>
      <c r="E227" s="2" t="str">
        <f t="shared" ca="1" si="39"/>
        <v>Tamil Nadu</v>
      </c>
      <c r="F227" s="2" t="str">
        <f t="shared" ca="1" si="40"/>
        <v>Customer Support</v>
      </c>
      <c r="G227" s="2" t="str">
        <f t="shared" ca="1" si="41"/>
        <v>Executive</v>
      </c>
      <c r="H227" s="2" t="str">
        <f t="shared" ca="1" si="42"/>
        <v>Books</v>
      </c>
      <c r="I227" s="2">
        <f t="shared" ca="1" si="43"/>
        <v>13</v>
      </c>
      <c r="J227" s="2">
        <f t="shared" ca="1" si="44"/>
        <v>9555</v>
      </c>
      <c r="K227" s="2">
        <f t="shared" ca="1" si="45"/>
        <v>1911</v>
      </c>
      <c r="L227" s="2">
        <f t="shared" ca="1" si="46"/>
        <v>23590</v>
      </c>
      <c r="M227" s="2" t="str">
        <f t="shared" ca="1" si="47"/>
        <v>No</v>
      </c>
    </row>
    <row r="228" spans="1:13" x14ac:dyDescent="0.25">
      <c r="A228" s="2" t="str">
        <f t="shared" si="36"/>
        <v>E227</v>
      </c>
      <c r="B228" s="2" t="s">
        <v>17</v>
      </c>
      <c r="C228" s="2" t="str">
        <f t="shared" ca="1" si="37"/>
        <v>Feb</v>
      </c>
      <c r="D228" s="2" t="str">
        <f t="shared" ca="1" si="38"/>
        <v>North</v>
      </c>
      <c r="E228" s="2" t="str">
        <f t="shared" ca="1" si="39"/>
        <v>Madhya Pradesh</v>
      </c>
      <c r="F228" s="2" t="str">
        <f t="shared" ca="1" si="40"/>
        <v>Marketing</v>
      </c>
      <c r="G228" s="2" t="str">
        <f t="shared" ca="1" si="41"/>
        <v>Executive</v>
      </c>
      <c r="H228" s="2" t="str">
        <f t="shared" ca="1" si="42"/>
        <v>Clothing</v>
      </c>
      <c r="I228" s="2">
        <f t="shared" ca="1" si="43"/>
        <v>12</v>
      </c>
      <c r="J228" s="2">
        <f t="shared" ca="1" si="44"/>
        <v>5892</v>
      </c>
      <c r="K228" s="2">
        <f t="shared" ca="1" si="45"/>
        <v>-58.92</v>
      </c>
      <c r="L228" s="2">
        <f t="shared" ca="1" si="46"/>
        <v>38847</v>
      </c>
      <c r="M228" s="2" t="str">
        <f t="shared" ca="1" si="47"/>
        <v>No</v>
      </c>
    </row>
    <row r="229" spans="1:13" x14ac:dyDescent="0.25">
      <c r="A229" s="2" t="str">
        <f t="shared" si="36"/>
        <v>E228</v>
      </c>
      <c r="B229" s="2" t="s">
        <v>232</v>
      </c>
      <c r="C229" s="2" t="str">
        <f t="shared" ca="1" si="37"/>
        <v>May</v>
      </c>
      <c r="D229" s="2" t="str">
        <f t="shared" ca="1" si="38"/>
        <v>East</v>
      </c>
      <c r="E229" s="2" t="str">
        <f t="shared" ca="1" si="39"/>
        <v>Delhi</v>
      </c>
      <c r="F229" s="2" t="str">
        <f t="shared" ca="1" si="40"/>
        <v>HR</v>
      </c>
      <c r="G229" s="2" t="str">
        <f t="shared" ca="1" si="41"/>
        <v>Executive</v>
      </c>
      <c r="H229" s="2" t="str">
        <f t="shared" ca="1" si="42"/>
        <v>Shoes</v>
      </c>
      <c r="I229" s="2">
        <f t="shared" ca="1" si="43"/>
        <v>32</v>
      </c>
      <c r="J229" s="2">
        <f t="shared" ca="1" si="44"/>
        <v>11872</v>
      </c>
      <c r="K229" s="2">
        <f t="shared" ca="1" si="45"/>
        <v>2493.12</v>
      </c>
      <c r="L229" s="2">
        <f t="shared" ca="1" si="46"/>
        <v>34492</v>
      </c>
      <c r="M229" s="2" t="str">
        <f t="shared" ca="1" si="47"/>
        <v>No</v>
      </c>
    </row>
    <row r="230" spans="1:13" x14ac:dyDescent="0.25">
      <c r="A230" s="2" t="str">
        <f t="shared" si="36"/>
        <v>E229</v>
      </c>
      <c r="B230" s="2" t="s">
        <v>233</v>
      </c>
      <c r="C230" s="2" t="str">
        <f t="shared" ca="1" si="37"/>
        <v>Feb</v>
      </c>
      <c r="D230" s="2" t="str">
        <f t="shared" ca="1" si="38"/>
        <v>West</v>
      </c>
      <c r="E230" s="2" t="str">
        <f t="shared" ca="1" si="39"/>
        <v>Madhya Pradesh</v>
      </c>
      <c r="F230" s="2" t="str">
        <f t="shared" ca="1" si="40"/>
        <v>Operations</v>
      </c>
      <c r="G230" s="2" t="str">
        <f t="shared" ca="1" si="41"/>
        <v>Analyst</v>
      </c>
      <c r="H230" s="2" t="str">
        <f t="shared" ca="1" si="42"/>
        <v>Books</v>
      </c>
      <c r="I230" s="2">
        <f t="shared" ca="1" si="43"/>
        <v>56</v>
      </c>
      <c r="J230" s="2">
        <f t="shared" ca="1" si="44"/>
        <v>16072</v>
      </c>
      <c r="K230" s="2">
        <f t="shared" ca="1" si="45"/>
        <v>2089.36</v>
      </c>
      <c r="L230" s="2">
        <f t="shared" ca="1" si="46"/>
        <v>14302</v>
      </c>
      <c r="M230" s="2" t="str">
        <f t="shared" ca="1" si="47"/>
        <v>Yes</v>
      </c>
    </row>
    <row r="231" spans="1:13" x14ac:dyDescent="0.25">
      <c r="A231" s="2" t="str">
        <f t="shared" si="36"/>
        <v>E230</v>
      </c>
      <c r="B231" s="2" t="s">
        <v>234</v>
      </c>
      <c r="C231" s="2" t="str">
        <f t="shared" ca="1" si="37"/>
        <v>Oct</v>
      </c>
      <c r="D231" s="2" t="str">
        <f t="shared" ca="1" si="38"/>
        <v>West</v>
      </c>
      <c r="E231" s="2" t="str">
        <f t="shared" ca="1" si="39"/>
        <v>Delhi</v>
      </c>
      <c r="F231" s="2" t="str">
        <f t="shared" ca="1" si="40"/>
        <v>HR</v>
      </c>
      <c r="G231" s="2" t="str">
        <f t="shared" ca="1" si="41"/>
        <v>Supervisor</v>
      </c>
      <c r="H231" s="2" t="str">
        <f t="shared" ca="1" si="42"/>
        <v>Electronics</v>
      </c>
      <c r="I231" s="2">
        <f t="shared" ca="1" si="43"/>
        <v>29</v>
      </c>
      <c r="J231" s="2">
        <f t="shared" ca="1" si="44"/>
        <v>17458</v>
      </c>
      <c r="K231" s="2">
        <f t="shared" ca="1" si="45"/>
        <v>2094.96</v>
      </c>
      <c r="L231" s="2">
        <f t="shared" ca="1" si="46"/>
        <v>27676</v>
      </c>
      <c r="M231" s="2" t="str">
        <f t="shared" ca="1" si="47"/>
        <v>No</v>
      </c>
    </row>
    <row r="232" spans="1:13" x14ac:dyDescent="0.25">
      <c r="A232" s="2" t="str">
        <f t="shared" si="36"/>
        <v>E231</v>
      </c>
      <c r="B232" s="2" t="s">
        <v>235</v>
      </c>
      <c r="C232" s="2" t="str">
        <f t="shared" ca="1" si="37"/>
        <v>Nov</v>
      </c>
      <c r="D232" s="2" t="str">
        <f t="shared" ca="1" si="38"/>
        <v>East</v>
      </c>
      <c r="E232" s="2" t="str">
        <f t="shared" ca="1" si="39"/>
        <v>West Bengal</v>
      </c>
      <c r="F232" s="2" t="str">
        <f t="shared" ca="1" si="40"/>
        <v>Finance</v>
      </c>
      <c r="G232" s="2" t="str">
        <f t="shared" ca="1" si="41"/>
        <v>Executive</v>
      </c>
      <c r="H232" s="2" t="str">
        <f t="shared" ca="1" si="42"/>
        <v>Electronics</v>
      </c>
      <c r="I232" s="2">
        <f t="shared" ca="1" si="43"/>
        <v>75</v>
      </c>
      <c r="J232" s="2">
        <f t="shared" ca="1" si="44"/>
        <v>30375</v>
      </c>
      <c r="K232" s="2">
        <f t="shared" ca="1" si="45"/>
        <v>9112.5</v>
      </c>
      <c r="L232" s="2">
        <f t="shared" ca="1" si="46"/>
        <v>43584</v>
      </c>
      <c r="M232" s="2" t="str">
        <f t="shared" ca="1" si="47"/>
        <v>No</v>
      </c>
    </row>
    <row r="233" spans="1:13" x14ac:dyDescent="0.25">
      <c r="A233" s="2" t="str">
        <f t="shared" si="36"/>
        <v>E232</v>
      </c>
      <c r="B233" s="2" t="s">
        <v>236</v>
      </c>
      <c r="C233" s="2" t="str">
        <f t="shared" ca="1" si="37"/>
        <v>Dec</v>
      </c>
      <c r="D233" s="2" t="str">
        <f t="shared" ca="1" si="38"/>
        <v>East</v>
      </c>
      <c r="E233" s="2" t="str">
        <f t="shared" ca="1" si="39"/>
        <v>Madhya Pradesh</v>
      </c>
      <c r="F233" s="2" t="str">
        <f t="shared" ca="1" si="40"/>
        <v>Sales</v>
      </c>
      <c r="G233" s="2" t="str">
        <f t="shared" ca="1" si="41"/>
        <v>Analyst</v>
      </c>
      <c r="H233" s="2" t="str">
        <f t="shared" ca="1" si="42"/>
        <v>Shoes</v>
      </c>
      <c r="I233" s="2">
        <f t="shared" ca="1" si="43"/>
        <v>63</v>
      </c>
      <c r="J233" s="2">
        <f t="shared" ca="1" si="44"/>
        <v>57897</v>
      </c>
      <c r="K233" s="2">
        <f t="shared" ca="1" si="45"/>
        <v>-4052.79</v>
      </c>
      <c r="L233" s="2">
        <f t="shared" ca="1" si="46"/>
        <v>37307</v>
      </c>
      <c r="M233" s="2" t="str">
        <f t="shared" ca="1" si="47"/>
        <v>Yes</v>
      </c>
    </row>
    <row r="234" spans="1:13" x14ac:dyDescent="0.25">
      <c r="A234" s="2" t="str">
        <f t="shared" si="36"/>
        <v>E233</v>
      </c>
      <c r="B234" s="2" t="s">
        <v>237</v>
      </c>
      <c r="C234" s="2" t="str">
        <f t="shared" ca="1" si="37"/>
        <v>Feb</v>
      </c>
      <c r="D234" s="2" t="str">
        <f t="shared" ca="1" si="38"/>
        <v>North</v>
      </c>
      <c r="E234" s="2" t="str">
        <f t="shared" ca="1" si="39"/>
        <v>Delhi</v>
      </c>
      <c r="F234" s="2" t="str">
        <f t="shared" ca="1" si="40"/>
        <v>HR</v>
      </c>
      <c r="G234" s="2" t="str">
        <f t="shared" ca="1" si="41"/>
        <v>Specialist</v>
      </c>
      <c r="H234" s="2" t="str">
        <f t="shared" ca="1" si="42"/>
        <v>Books</v>
      </c>
      <c r="I234" s="2">
        <f t="shared" ca="1" si="43"/>
        <v>43</v>
      </c>
      <c r="J234" s="2">
        <f t="shared" ca="1" si="44"/>
        <v>40377</v>
      </c>
      <c r="K234" s="2">
        <f t="shared" ca="1" si="45"/>
        <v>7267.86</v>
      </c>
      <c r="L234" s="2">
        <f t="shared" ca="1" si="46"/>
        <v>25512</v>
      </c>
      <c r="M234" s="2" t="str">
        <f t="shared" ca="1" si="47"/>
        <v>Yes</v>
      </c>
    </row>
    <row r="235" spans="1:13" x14ac:dyDescent="0.25">
      <c r="A235" s="2" t="str">
        <f t="shared" si="36"/>
        <v>E234</v>
      </c>
      <c r="B235" s="2" t="s">
        <v>238</v>
      </c>
      <c r="C235" s="2" t="str">
        <f t="shared" ca="1" si="37"/>
        <v>Jun</v>
      </c>
      <c r="D235" s="2" t="str">
        <f t="shared" ca="1" si="38"/>
        <v>West</v>
      </c>
      <c r="E235" s="2" t="str">
        <f t="shared" ca="1" si="39"/>
        <v>Tamil Nadu</v>
      </c>
      <c r="F235" s="2" t="str">
        <f t="shared" ca="1" si="40"/>
        <v>Sales</v>
      </c>
      <c r="G235" s="2" t="str">
        <f t="shared" ca="1" si="41"/>
        <v>Analyst</v>
      </c>
      <c r="H235" s="2" t="str">
        <f t="shared" ca="1" si="42"/>
        <v>Shoes</v>
      </c>
      <c r="I235" s="2">
        <f t="shared" ca="1" si="43"/>
        <v>88</v>
      </c>
      <c r="J235" s="2">
        <f t="shared" ca="1" si="44"/>
        <v>51832</v>
      </c>
      <c r="K235" s="2">
        <f t="shared" ca="1" si="45"/>
        <v>7256.48</v>
      </c>
      <c r="L235" s="2">
        <f t="shared" ca="1" si="46"/>
        <v>26825</v>
      </c>
      <c r="M235" s="2" t="str">
        <f t="shared" ca="1" si="47"/>
        <v>Yes</v>
      </c>
    </row>
    <row r="236" spans="1:13" x14ac:dyDescent="0.25">
      <c r="A236" s="2" t="str">
        <f t="shared" si="36"/>
        <v>E235</v>
      </c>
      <c r="B236" s="2" t="s">
        <v>12</v>
      </c>
      <c r="C236" s="2" t="str">
        <f t="shared" ca="1" si="37"/>
        <v>Jun</v>
      </c>
      <c r="D236" s="2" t="str">
        <f t="shared" ca="1" si="38"/>
        <v>South</v>
      </c>
      <c r="E236" s="2" t="str">
        <f t="shared" ca="1" si="39"/>
        <v>Punjab</v>
      </c>
      <c r="F236" s="2" t="str">
        <f t="shared" ca="1" si="40"/>
        <v>Operations</v>
      </c>
      <c r="G236" s="2" t="str">
        <f t="shared" ca="1" si="41"/>
        <v>Analyst</v>
      </c>
      <c r="H236" s="2" t="str">
        <f t="shared" ca="1" si="42"/>
        <v>Books</v>
      </c>
      <c r="I236" s="2">
        <f t="shared" ca="1" si="43"/>
        <v>18</v>
      </c>
      <c r="J236" s="2">
        <f t="shared" ca="1" si="44"/>
        <v>5724</v>
      </c>
      <c r="K236" s="2">
        <f t="shared" ca="1" si="45"/>
        <v>-572.4</v>
      </c>
      <c r="L236" s="2">
        <f t="shared" ca="1" si="46"/>
        <v>13212</v>
      </c>
      <c r="M236" s="2" t="str">
        <f t="shared" ca="1" si="47"/>
        <v>No</v>
      </c>
    </row>
    <row r="237" spans="1:13" x14ac:dyDescent="0.25">
      <c r="A237" s="2" t="str">
        <f t="shared" si="36"/>
        <v>E236</v>
      </c>
      <c r="B237" s="2" t="s">
        <v>239</v>
      </c>
      <c r="C237" s="2" t="str">
        <f t="shared" ca="1" si="37"/>
        <v>May</v>
      </c>
      <c r="D237" s="2" t="str">
        <f t="shared" ca="1" si="38"/>
        <v>North</v>
      </c>
      <c r="E237" s="2" t="str">
        <f t="shared" ca="1" si="39"/>
        <v>Delhi</v>
      </c>
      <c r="F237" s="2" t="str">
        <f t="shared" ca="1" si="40"/>
        <v>Sales</v>
      </c>
      <c r="G237" s="2" t="str">
        <f t="shared" ca="1" si="41"/>
        <v>Supervisor</v>
      </c>
      <c r="H237" s="2" t="str">
        <f t="shared" ca="1" si="42"/>
        <v>Clothing</v>
      </c>
      <c r="I237" s="2">
        <f t="shared" ca="1" si="43"/>
        <v>36</v>
      </c>
      <c r="J237" s="2">
        <f t="shared" ca="1" si="44"/>
        <v>10908</v>
      </c>
      <c r="K237" s="2">
        <f t="shared" ca="1" si="45"/>
        <v>1527.12</v>
      </c>
      <c r="L237" s="2">
        <f t="shared" ca="1" si="46"/>
        <v>17788</v>
      </c>
      <c r="M237" s="2" t="str">
        <f t="shared" ca="1" si="47"/>
        <v>No</v>
      </c>
    </row>
    <row r="238" spans="1:13" x14ac:dyDescent="0.25">
      <c r="A238" s="2" t="str">
        <f t="shared" si="36"/>
        <v>E237</v>
      </c>
      <c r="B238" s="2" t="s">
        <v>13</v>
      </c>
      <c r="C238" s="2" t="str">
        <f t="shared" ca="1" si="37"/>
        <v>Mar</v>
      </c>
      <c r="D238" s="2" t="str">
        <f t="shared" ca="1" si="38"/>
        <v>East</v>
      </c>
      <c r="E238" s="2" t="str">
        <f t="shared" ca="1" si="39"/>
        <v>Tamil Nadu</v>
      </c>
      <c r="F238" s="2" t="str">
        <f t="shared" ca="1" si="40"/>
        <v>Sales</v>
      </c>
      <c r="G238" s="2" t="str">
        <f t="shared" ca="1" si="41"/>
        <v>Specialist</v>
      </c>
      <c r="H238" s="2" t="str">
        <f t="shared" ca="1" si="42"/>
        <v>Shoes</v>
      </c>
      <c r="I238" s="2">
        <f t="shared" ca="1" si="43"/>
        <v>21</v>
      </c>
      <c r="J238" s="2">
        <f t="shared" ca="1" si="44"/>
        <v>10836</v>
      </c>
      <c r="K238" s="2">
        <f t="shared" ca="1" si="45"/>
        <v>325.08</v>
      </c>
      <c r="L238" s="2">
        <f t="shared" ca="1" si="46"/>
        <v>28332</v>
      </c>
      <c r="M238" s="2" t="str">
        <f t="shared" ca="1" si="47"/>
        <v>No</v>
      </c>
    </row>
    <row r="239" spans="1:13" x14ac:dyDescent="0.25">
      <c r="A239" s="2" t="str">
        <f t="shared" si="36"/>
        <v>E238</v>
      </c>
      <c r="B239" s="2" t="s">
        <v>240</v>
      </c>
      <c r="C239" s="2" t="str">
        <f t="shared" ca="1" si="37"/>
        <v>Sep</v>
      </c>
      <c r="D239" s="2" t="str">
        <f t="shared" ca="1" si="38"/>
        <v>North</v>
      </c>
      <c r="E239" s="2" t="str">
        <f t="shared" ca="1" si="39"/>
        <v>Tamil Nadu</v>
      </c>
      <c r="F239" s="2" t="str">
        <f t="shared" ca="1" si="40"/>
        <v>Finance</v>
      </c>
      <c r="G239" s="2" t="str">
        <f t="shared" ca="1" si="41"/>
        <v>Specialist</v>
      </c>
      <c r="H239" s="2" t="str">
        <f t="shared" ca="1" si="42"/>
        <v>Books</v>
      </c>
      <c r="I239" s="2">
        <f t="shared" ca="1" si="43"/>
        <v>77</v>
      </c>
      <c r="J239" s="2">
        <f t="shared" ca="1" si="44"/>
        <v>18095</v>
      </c>
      <c r="K239" s="2">
        <f t="shared" ca="1" si="45"/>
        <v>-542.85</v>
      </c>
      <c r="L239" s="2">
        <f t="shared" ca="1" si="46"/>
        <v>30014</v>
      </c>
      <c r="M239" s="2" t="str">
        <f t="shared" ca="1" si="47"/>
        <v>No</v>
      </c>
    </row>
    <row r="240" spans="1:13" x14ac:dyDescent="0.25">
      <c r="A240" s="2" t="str">
        <f t="shared" si="36"/>
        <v>E239</v>
      </c>
      <c r="B240" s="2" t="s">
        <v>241</v>
      </c>
      <c r="C240" s="2" t="str">
        <f t="shared" ca="1" si="37"/>
        <v>Sep</v>
      </c>
      <c r="D240" s="2" t="str">
        <f t="shared" ca="1" si="38"/>
        <v>East</v>
      </c>
      <c r="E240" s="2" t="str">
        <f t="shared" ca="1" si="39"/>
        <v>Delhi</v>
      </c>
      <c r="F240" s="2" t="str">
        <f t="shared" ca="1" si="40"/>
        <v>Customer Support</v>
      </c>
      <c r="G240" s="2" t="str">
        <f t="shared" ca="1" si="41"/>
        <v>Executive</v>
      </c>
      <c r="H240" s="2" t="str">
        <f t="shared" ca="1" si="42"/>
        <v>Shoes</v>
      </c>
      <c r="I240" s="2">
        <f t="shared" ca="1" si="43"/>
        <v>85</v>
      </c>
      <c r="J240" s="2">
        <f t="shared" ca="1" si="44"/>
        <v>53635</v>
      </c>
      <c r="K240" s="2">
        <f t="shared" ca="1" si="45"/>
        <v>1609.05</v>
      </c>
      <c r="L240" s="2">
        <f t="shared" ca="1" si="46"/>
        <v>30766</v>
      </c>
      <c r="M240" s="2" t="str">
        <f t="shared" ca="1" si="47"/>
        <v>Yes</v>
      </c>
    </row>
    <row r="241" spans="1:13" x14ac:dyDescent="0.25">
      <c r="A241" s="2" t="str">
        <f t="shared" si="36"/>
        <v>E240</v>
      </c>
      <c r="B241" s="2" t="s">
        <v>242</v>
      </c>
      <c r="C241" s="2" t="str">
        <f t="shared" ca="1" si="37"/>
        <v>Jun</v>
      </c>
      <c r="D241" s="2" t="str">
        <f t="shared" ca="1" si="38"/>
        <v>West</v>
      </c>
      <c r="E241" s="2" t="str">
        <f t="shared" ca="1" si="39"/>
        <v>Tamil Nadu</v>
      </c>
      <c r="F241" s="2" t="str">
        <f t="shared" ca="1" si="40"/>
        <v>Operations</v>
      </c>
      <c r="G241" s="2" t="str">
        <f t="shared" ca="1" si="41"/>
        <v>Executive</v>
      </c>
      <c r="H241" s="2" t="str">
        <f t="shared" ca="1" si="42"/>
        <v>Shoes</v>
      </c>
      <c r="I241" s="2">
        <f t="shared" ca="1" si="43"/>
        <v>97</v>
      </c>
      <c r="J241" s="2">
        <f t="shared" ca="1" si="44"/>
        <v>33950</v>
      </c>
      <c r="K241" s="2">
        <f t="shared" ca="1" si="45"/>
        <v>1018.5</v>
      </c>
      <c r="L241" s="2">
        <f t="shared" ca="1" si="46"/>
        <v>11264</v>
      </c>
      <c r="M241" s="2" t="str">
        <f t="shared" ca="1" si="47"/>
        <v>Yes</v>
      </c>
    </row>
    <row r="242" spans="1:13" x14ac:dyDescent="0.25">
      <c r="A242" s="2" t="str">
        <f t="shared" si="36"/>
        <v>E241</v>
      </c>
      <c r="B242" s="2" t="s">
        <v>59</v>
      </c>
      <c r="C242" s="2" t="str">
        <f t="shared" ca="1" si="37"/>
        <v>Sep</v>
      </c>
      <c r="D242" s="2" t="str">
        <f t="shared" ca="1" si="38"/>
        <v>East</v>
      </c>
      <c r="E242" s="2" t="str">
        <f t="shared" ca="1" si="39"/>
        <v>West Bengal</v>
      </c>
      <c r="F242" s="2" t="str">
        <f t="shared" ca="1" si="40"/>
        <v>Finance</v>
      </c>
      <c r="G242" s="2" t="str">
        <f t="shared" ca="1" si="41"/>
        <v>Specialist</v>
      </c>
      <c r="H242" s="2" t="str">
        <f t="shared" ca="1" si="42"/>
        <v>Books</v>
      </c>
      <c r="I242" s="2">
        <f t="shared" ca="1" si="43"/>
        <v>90</v>
      </c>
      <c r="J242" s="2">
        <f t="shared" ca="1" si="44"/>
        <v>89730</v>
      </c>
      <c r="K242" s="2">
        <f t="shared" ca="1" si="45"/>
        <v>22432.5</v>
      </c>
      <c r="L242" s="2">
        <f t="shared" ca="1" si="46"/>
        <v>44938</v>
      </c>
      <c r="M242" s="2" t="str">
        <f t="shared" ca="1" si="47"/>
        <v>Yes</v>
      </c>
    </row>
    <row r="243" spans="1:13" x14ac:dyDescent="0.25">
      <c r="A243" s="2" t="str">
        <f t="shared" si="36"/>
        <v>E242</v>
      </c>
      <c r="B243" s="2" t="s">
        <v>13</v>
      </c>
      <c r="C243" s="2" t="str">
        <f t="shared" ca="1" si="37"/>
        <v>Sep</v>
      </c>
      <c r="D243" s="2" t="str">
        <f t="shared" ca="1" si="38"/>
        <v>West</v>
      </c>
      <c r="E243" s="2" t="str">
        <f t="shared" ca="1" si="39"/>
        <v>Punjab</v>
      </c>
      <c r="F243" s="2" t="str">
        <f t="shared" ca="1" si="40"/>
        <v>Marketing</v>
      </c>
      <c r="G243" s="2" t="str">
        <f t="shared" ca="1" si="41"/>
        <v>Analyst</v>
      </c>
      <c r="H243" s="2" t="str">
        <f t="shared" ca="1" si="42"/>
        <v>Electronics</v>
      </c>
      <c r="I243" s="2">
        <f t="shared" ca="1" si="43"/>
        <v>23</v>
      </c>
      <c r="J243" s="2">
        <f t="shared" ca="1" si="44"/>
        <v>19458</v>
      </c>
      <c r="K243" s="2">
        <f t="shared" ca="1" si="45"/>
        <v>972.9</v>
      </c>
      <c r="L243" s="2">
        <f t="shared" ca="1" si="46"/>
        <v>46011</v>
      </c>
      <c r="M243" s="2" t="str">
        <f t="shared" ca="1" si="47"/>
        <v>No</v>
      </c>
    </row>
    <row r="244" spans="1:13" x14ac:dyDescent="0.25">
      <c r="A244" s="2" t="str">
        <f t="shared" si="36"/>
        <v>E243</v>
      </c>
      <c r="B244" s="2" t="s">
        <v>243</v>
      </c>
      <c r="C244" s="2" t="str">
        <f t="shared" ca="1" si="37"/>
        <v>Oct</v>
      </c>
      <c r="D244" s="2" t="str">
        <f t="shared" ca="1" si="38"/>
        <v>West</v>
      </c>
      <c r="E244" s="2" t="str">
        <f t="shared" ca="1" si="39"/>
        <v>Punjab</v>
      </c>
      <c r="F244" s="2" t="str">
        <f t="shared" ca="1" si="40"/>
        <v>Sales</v>
      </c>
      <c r="G244" s="2" t="str">
        <f t="shared" ca="1" si="41"/>
        <v>Specialist</v>
      </c>
      <c r="H244" s="2" t="str">
        <f t="shared" ca="1" si="42"/>
        <v>Shoes</v>
      </c>
      <c r="I244" s="2">
        <f t="shared" ca="1" si="43"/>
        <v>41</v>
      </c>
      <c r="J244" s="2">
        <f t="shared" ca="1" si="44"/>
        <v>37433</v>
      </c>
      <c r="K244" s="2">
        <f t="shared" ca="1" si="45"/>
        <v>8983.92</v>
      </c>
      <c r="L244" s="2">
        <f t="shared" ca="1" si="46"/>
        <v>48181</v>
      </c>
      <c r="M244" s="2" t="str">
        <f t="shared" ca="1" si="47"/>
        <v>No</v>
      </c>
    </row>
    <row r="245" spans="1:13" x14ac:dyDescent="0.25">
      <c r="A245" s="2" t="str">
        <f t="shared" si="36"/>
        <v>E244</v>
      </c>
      <c r="B245" s="2" t="s">
        <v>244</v>
      </c>
      <c r="C245" s="2" t="str">
        <f t="shared" ca="1" si="37"/>
        <v>Jun</v>
      </c>
      <c r="D245" s="2" t="str">
        <f t="shared" ca="1" si="38"/>
        <v>South</v>
      </c>
      <c r="E245" s="2" t="str">
        <f t="shared" ca="1" si="39"/>
        <v>Punjab</v>
      </c>
      <c r="F245" s="2" t="str">
        <f t="shared" ca="1" si="40"/>
        <v>Operations</v>
      </c>
      <c r="G245" s="2" t="str">
        <f t="shared" ca="1" si="41"/>
        <v>Executive</v>
      </c>
      <c r="H245" s="2" t="str">
        <f t="shared" ca="1" si="42"/>
        <v>Electronics</v>
      </c>
      <c r="I245" s="2">
        <f t="shared" ca="1" si="43"/>
        <v>81</v>
      </c>
      <c r="J245" s="2">
        <f t="shared" ca="1" si="44"/>
        <v>28836</v>
      </c>
      <c r="K245" s="2">
        <f t="shared" ca="1" si="45"/>
        <v>1441.8</v>
      </c>
      <c r="L245" s="2">
        <f t="shared" ca="1" si="46"/>
        <v>22133</v>
      </c>
      <c r="M245" s="2" t="str">
        <f t="shared" ca="1" si="47"/>
        <v>Yes</v>
      </c>
    </row>
    <row r="246" spans="1:13" x14ac:dyDescent="0.25">
      <c r="A246" s="2" t="str">
        <f t="shared" si="36"/>
        <v>E245</v>
      </c>
      <c r="B246" s="2" t="s">
        <v>245</v>
      </c>
      <c r="C246" s="2" t="str">
        <f t="shared" ca="1" si="37"/>
        <v>Mar</v>
      </c>
      <c r="D246" s="2" t="str">
        <f t="shared" ca="1" si="38"/>
        <v>West</v>
      </c>
      <c r="E246" s="2" t="str">
        <f t="shared" ca="1" si="39"/>
        <v>Punjab</v>
      </c>
      <c r="F246" s="2" t="str">
        <f t="shared" ca="1" si="40"/>
        <v>Customer Support</v>
      </c>
      <c r="G246" s="2" t="str">
        <f t="shared" ca="1" si="41"/>
        <v>Executive</v>
      </c>
      <c r="H246" s="2" t="str">
        <f t="shared" ca="1" si="42"/>
        <v>Electronics</v>
      </c>
      <c r="I246" s="2">
        <f t="shared" ca="1" si="43"/>
        <v>9</v>
      </c>
      <c r="J246" s="2">
        <f t="shared" ca="1" si="44"/>
        <v>3105</v>
      </c>
      <c r="K246" s="2">
        <f t="shared" ca="1" si="45"/>
        <v>310.5</v>
      </c>
      <c r="L246" s="2">
        <f t="shared" ca="1" si="46"/>
        <v>47954</v>
      </c>
      <c r="M246" s="2" t="str">
        <f t="shared" ca="1" si="47"/>
        <v>No</v>
      </c>
    </row>
    <row r="247" spans="1:13" x14ac:dyDescent="0.25">
      <c r="A247" s="2" t="str">
        <f t="shared" si="36"/>
        <v>E246</v>
      </c>
      <c r="B247" s="2" t="s">
        <v>246</v>
      </c>
      <c r="C247" s="2" t="str">
        <f t="shared" ca="1" si="37"/>
        <v>Nov</v>
      </c>
      <c r="D247" s="2" t="str">
        <f t="shared" ca="1" si="38"/>
        <v>North</v>
      </c>
      <c r="E247" s="2" t="str">
        <f t="shared" ca="1" si="39"/>
        <v>Delhi</v>
      </c>
      <c r="F247" s="2" t="str">
        <f t="shared" ca="1" si="40"/>
        <v>Operations</v>
      </c>
      <c r="G247" s="2" t="str">
        <f t="shared" ca="1" si="41"/>
        <v>Supervisor</v>
      </c>
      <c r="H247" s="2" t="str">
        <f t="shared" ca="1" si="42"/>
        <v>Shoes</v>
      </c>
      <c r="I247" s="2">
        <f t="shared" ca="1" si="43"/>
        <v>23</v>
      </c>
      <c r="J247" s="2">
        <f t="shared" ca="1" si="44"/>
        <v>7153</v>
      </c>
      <c r="K247" s="2">
        <f t="shared" ca="1" si="45"/>
        <v>858.36</v>
      </c>
      <c r="L247" s="2">
        <f t="shared" ca="1" si="46"/>
        <v>23795</v>
      </c>
      <c r="M247" s="2" t="str">
        <f t="shared" ca="1" si="47"/>
        <v>No</v>
      </c>
    </row>
    <row r="248" spans="1:13" x14ac:dyDescent="0.25">
      <c r="A248" s="2" t="str">
        <f t="shared" si="36"/>
        <v>E247</v>
      </c>
      <c r="B248" s="2" t="s">
        <v>247</v>
      </c>
      <c r="C248" s="2" t="str">
        <f t="shared" ca="1" si="37"/>
        <v>Jun</v>
      </c>
      <c r="D248" s="2" t="str">
        <f t="shared" ca="1" si="38"/>
        <v>West</v>
      </c>
      <c r="E248" s="2" t="str">
        <f t="shared" ca="1" si="39"/>
        <v>Gujarat</v>
      </c>
      <c r="F248" s="2" t="str">
        <f t="shared" ca="1" si="40"/>
        <v>Customer Support</v>
      </c>
      <c r="G248" s="2" t="str">
        <f t="shared" ca="1" si="41"/>
        <v>Supervisor</v>
      </c>
      <c r="H248" s="2" t="str">
        <f t="shared" ca="1" si="42"/>
        <v>Shoes</v>
      </c>
      <c r="I248" s="2">
        <f t="shared" ca="1" si="43"/>
        <v>32</v>
      </c>
      <c r="J248" s="2">
        <f t="shared" ca="1" si="44"/>
        <v>31552</v>
      </c>
      <c r="K248" s="2">
        <f t="shared" ca="1" si="45"/>
        <v>1577.6</v>
      </c>
      <c r="L248" s="2">
        <f t="shared" ca="1" si="46"/>
        <v>24501</v>
      </c>
      <c r="M248" s="2" t="str">
        <f t="shared" ca="1" si="47"/>
        <v>Yes</v>
      </c>
    </row>
    <row r="249" spans="1:13" x14ac:dyDescent="0.25">
      <c r="A249" s="2" t="str">
        <f t="shared" si="36"/>
        <v>E248</v>
      </c>
      <c r="B249" s="2" t="s">
        <v>248</v>
      </c>
      <c r="C249" s="2" t="str">
        <f t="shared" ca="1" si="37"/>
        <v>Apr</v>
      </c>
      <c r="D249" s="2" t="str">
        <f t="shared" ca="1" si="38"/>
        <v>South</v>
      </c>
      <c r="E249" s="2" t="str">
        <f t="shared" ca="1" si="39"/>
        <v>Delhi</v>
      </c>
      <c r="F249" s="2" t="str">
        <f t="shared" ca="1" si="40"/>
        <v>Finance</v>
      </c>
      <c r="G249" s="2" t="str">
        <f t="shared" ca="1" si="41"/>
        <v>Executive</v>
      </c>
      <c r="H249" s="2" t="str">
        <f t="shared" ca="1" si="42"/>
        <v>Electronics</v>
      </c>
      <c r="I249" s="2">
        <f t="shared" ca="1" si="43"/>
        <v>55</v>
      </c>
      <c r="J249" s="2">
        <f t="shared" ca="1" si="44"/>
        <v>17655</v>
      </c>
      <c r="K249" s="2">
        <f t="shared" ca="1" si="45"/>
        <v>-1059.3</v>
      </c>
      <c r="L249" s="2">
        <f t="shared" ca="1" si="46"/>
        <v>47275</v>
      </c>
      <c r="M249" s="2" t="str">
        <f t="shared" ca="1" si="47"/>
        <v>No</v>
      </c>
    </row>
    <row r="250" spans="1:13" x14ac:dyDescent="0.25">
      <c r="A250" s="2" t="str">
        <f t="shared" si="36"/>
        <v>E249</v>
      </c>
      <c r="B250" s="2" t="s">
        <v>48</v>
      </c>
      <c r="C250" s="2" t="str">
        <f t="shared" ca="1" si="37"/>
        <v>Feb</v>
      </c>
      <c r="D250" s="2" t="str">
        <f t="shared" ca="1" si="38"/>
        <v>North</v>
      </c>
      <c r="E250" s="2" t="str">
        <f t="shared" ca="1" si="39"/>
        <v>Tamil Nadu</v>
      </c>
      <c r="F250" s="2" t="str">
        <f t="shared" ca="1" si="40"/>
        <v>Customer Support</v>
      </c>
      <c r="G250" s="2" t="str">
        <f t="shared" ca="1" si="41"/>
        <v>Specialist</v>
      </c>
      <c r="H250" s="2" t="str">
        <f t="shared" ca="1" si="42"/>
        <v>Electronics</v>
      </c>
      <c r="I250" s="2">
        <f t="shared" ca="1" si="43"/>
        <v>39</v>
      </c>
      <c r="J250" s="2">
        <f t="shared" ca="1" si="44"/>
        <v>21060</v>
      </c>
      <c r="K250" s="2">
        <f t="shared" ca="1" si="45"/>
        <v>5686.2</v>
      </c>
      <c r="L250" s="2">
        <f t="shared" ca="1" si="46"/>
        <v>13186</v>
      </c>
      <c r="M250" s="2" t="str">
        <f t="shared" ca="1" si="47"/>
        <v>Yes</v>
      </c>
    </row>
    <row r="251" spans="1:13" x14ac:dyDescent="0.25">
      <c r="A251" s="2" t="str">
        <f t="shared" si="36"/>
        <v>E250</v>
      </c>
      <c r="B251" s="2" t="s">
        <v>232</v>
      </c>
      <c r="C251" s="2" t="str">
        <f t="shared" ca="1" si="37"/>
        <v>Nov</v>
      </c>
      <c r="D251" s="2" t="str">
        <f t="shared" ca="1" si="38"/>
        <v>North</v>
      </c>
      <c r="E251" s="2" t="str">
        <f t="shared" ca="1" si="39"/>
        <v>Delhi</v>
      </c>
      <c r="F251" s="2" t="str">
        <f t="shared" ca="1" si="40"/>
        <v>HR</v>
      </c>
      <c r="G251" s="2" t="str">
        <f t="shared" ca="1" si="41"/>
        <v>Analyst</v>
      </c>
      <c r="H251" s="2" t="str">
        <f t="shared" ca="1" si="42"/>
        <v>Clothing</v>
      </c>
      <c r="I251" s="2">
        <f t="shared" ca="1" si="43"/>
        <v>74</v>
      </c>
      <c r="J251" s="2">
        <f t="shared" ca="1" si="44"/>
        <v>72964</v>
      </c>
      <c r="K251" s="2">
        <f t="shared" ca="1" si="45"/>
        <v>18970.64</v>
      </c>
      <c r="L251" s="2">
        <f t="shared" ca="1" si="46"/>
        <v>35048</v>
      </c>
      <c r="M251" s="2" t="str">
        <f t="shared" ca="1" si="47"/>
        <v>Yes</v>
      </c>
    </row>
    <row r="252" spans="1:13" x14ac:dyDescent="0.25">
      <c r="A252" s="2" t="str">
        <f t="shared" si="36"/>
        <v>E251</v>
      </c>
      <c r="B252" s="2" t="s">
        <v>249</v>
      </c>
      <c r="C252" s="2" t="str">
        <f t="shared" ca="1" si="37"/>
        <v>Apr</v>
      </c>
      <c r="D252" s="2" t="str">
        <f t="shared" ca="1" si="38"/>
        <v>East</v>
      </c>
      <c r="E252" s="2" t="str">
        <f t="shared" ca="1" si="39"/>
        <v>Tamil Nadu</v>
      </c>
      <c r="F252" s="2" t="str">
        <f t="shared" ca="1" si="40"/>
        <v>Sales</v>
      </c>
      <c r="G252" s="2" t="str">
        <f t="shared" ca="1" si="41"/>
        <v>Analyst</v>
      </c>
      <c r="H252" s="2" t="str">
        <f t="shared" ca="1" si="42"/>
        <v>Electronics</v>
      </c>
      <c r="I252" s="2">
        <f t="shared" ca="1" si="43"/>
        <v>89</v>
      </c>
      <c r="J252" s="2">
        <f t="shared" ca="1" si="44"/>
        <v>51531</v>
      </c>
      <c r="K252" s="2">
        <f t="shared" ca="1" si="45"/>
        <v>12367.44</v>
      </c>
      <c r="L252" s="2">
        <f t="shared" ca="1" si="46"/>
        <v>31159</v>
      </c>
      <c r="M252" s="2" t="str">
        <f t="shared" ca="1" si="47"/>
        <v>Yes</v>
      </c>
    </row>
    <row r="253" spans="1:13" x14ac:dyDescent="0.25">
      <c r="A253" s="2" t="str">
        <f t="shared" si="36"/>
        <v>E252</v>
      </c>
      <c r="B253" s="2" t="s">
        <v>250</v>
      </c>
      <c r="C253" s="2" t="str">
        <f t="shared" ca="1" si="37"/>
        <v>Feb</v>
      </c>
      <c r="D253" s="2" t="str">
        <f t="shared" ca="1" si="38"/>
        <v>North</v>
      </c>
      <c r="E253" s="2" t="str">
        <f t="shared" ca="1" si="39"/>
        <v>West Bengal</v>
      </c>
      <c r="F253" s="2" t="str">
        <f t="shared" ca="1" si="40"/>
        <v>Sales</v>
      </c>
      <c r="G253" s="2" t="str">
        <f t="shared" ca="1" si="41"/>
        <v>Executive</v>
      </c>
      <c r="H253" s="2" t="str">
        <f t="shared" ca="1" si="42"/>
        <v>Electronics</v>
      </c>
      <c r="I253" s="2">
        <f t="shared" ca="1" si="43"/>
        <v>90</v>
      </c>
      <c r="J253" s="2">
        <f t="shared" ca="1" si="44"/>
        <v>39420</v>
      </c>
      <c r="K253" s="2">
        <f t="shared" ca="1" si="45"/>
        <v>-1576.8</v>
      </c>
      <c r="L253" s="2">
        <f t="shared" ca="1" si="46"/>
        <v>39525</v>
      </c>
      <c r="M253" s="2" t="str">
        <f t="shared" ca="1" si="47"/>
        <v>No</v>
      </c>
    </row>
    <row r="254" spans="1:13" x14ac:dyDescent="0.25">
      <c r="A254" s="2" t="str">
        <f t="shared" si="36"/>
        <v>E253</v>
      </c>
      <c r="B254" s="2" t="s">
        <v>251</v>
      </c>
      <c r="C254" s="2" t="str">
        <f t="shared" ca="1" si="37"/>
        <v>Jul</v>
      </c>
      <c r="D254" s="2" t="str">
        <f t="shared" ca="1" si="38"/>
        <v>North</v>
      </c>
      <c r="E254" s="2" t="str">
        <f t="shared" ca="1" si="39"/>
        <v>Punjab</v>
      </c>
      <c r="F254" s="2" t="str">
        <f t="shared" ca="1" si="40"/>
        <v>Sales</v>
      </c>
      <c r="G254" s="2" t="str">
        <f t="shared" ca="1" si="41"/>
        <v>Supervisor</v>
      </c>
      <c r="H254" s="2" t="str">
        <f t="shared" ca="1" si="42"/>
        <v>Clothing</v>
      </c>
      <c r="I254" s="2">
        <f t="shared" ca="1" si="43"/>
        <v>69</v>
      </c>
      <c r="J254" s="2">
        <f t="shared" ca="1" si="44"/>
        <v>58995</v>
      </c>
      <c r="K254" s="2">
        <f t="shared" ca="1" si="45"/>
        <v>5899.5</v>
      </c>
      <c r="L254" s="2">
        <f t="shared" ca="1" si="46"/>
        <v>31116</v>
      </c>
      <c r="M254" s="2" t="str">
        <f t="shared" ca="1" si="47"/>
        <v>Yes</v>
      </c>
    </row>
    <row r="255" spans="1:13" x14ac:dyDescent="0.25">
      <c r="A255" s="2" t="str">
        <f t="shared" si="36"/>
        <v>E254</v>
      </c>
      <c r="B255" s="2" t="s">
        <v>252</v>
      </c>
      <c r="C255" s="2" t="str">
        <f t="shared" ca="1" si="37"/>
        <v>Mar</v>
      </c>
      <c r="D255" s="2" t="str">
        <f t="shared" ca="1" si="38"/>
        <v>West</v>
      </c>
      <c r="E255" s="2" t="str">
        <f t="shared" ca="1" si="39"/>
        <v>Gujarat</v>
      </c>
      <c r="F255" s="2" t="str">
        <f t="shared" ca="1" si="40"/>
        <v>Operations</v>
      </c>
      <c r="G255" s="2" t="str">
        <f t="shared" ca="1" si="41"/>
        <v>Executive</v>
      </c>
      <c r="H255" s="2" t="str">
        <f t="shared" ca="1" si="42"/>
        <v>Books</v>
      </c>
      <c r="I255" s="2">
        <f t="shared" ca="1" si="43"/>
        <v>71</v>
      </c>
      <c r="J255" s="2">
        <f t="shared" ca="1" si="44"/>
        <v>23643</v>
      </c>
      <c r="K255" s="2">
        <f t="shared" ca="1" si="45"/>
        <v>4492.17</v>
      </c>
      <c r="L255" s="2">
        <f t="shared" ca="1" si="46"/>
        <v>23939</v>
      </c>
      <c r="M255" s="2" t="str">
        <f t="shared" ca="1" si="47"/>
        <v>No</v>
      </c>
    </row>
    <row r="256" spans="1:13" x14ac:dyDescent="0.25">
      <c r="A256" s="2" t="str">
        <f t="shared" si="36"/>
        <v>E255</v>
      </c>
      <c r="B256" s="2" t="s">
        <v>30</v>
      </c>
      <c r="C256" s="2" t="str">
        <f t="shared" ca="1" si="37"/>
        <v>Jan</v>
      </c>
      <c r="D256" s="2" t="str">
        <f t="shared" ca="1" si="38"/>
        <v>South</v>
      </c>
      <c r="E256" s="2" t="str">
        <f t="shared" ca="1" si="39"/>
        <v>Tamil Nadu</v>
      </c>
      <c r="F256" s="2" t="str">
        <f t="shared" ca="1" si="40"/>
        <v>Finance</v>
      </c>
      <c r="G256" s="2" t="str">
        <f t="shared" ca="1" si="41"/>
        <v>Executive</v>
      </c>
      <c r="H256" s="2" t="str">
        <f t="shared" ca="1" si="42"/>
        <v>Books</v>
      </c>
      <c r="I256" s="2">
        <f t="shared" ca="1" si="43"/>
        <v>32</v>
      </c>
      <c r="J256" s="2">
        <f t="shared" ca="1" si="44"/>
        <v>7328</v>
      </c>
      <c r="K256" s="2">
        <f t="shared" ca="1" si="45"/>
        <v>1832</v>
      </c>
      <c r="L256" s="2">
        <f t="shared" ca="1" si="46"/>
        <v>12138</v>
      </c>
      <c r="M256" s="2" t="str">
        <f t="shared" ca="1" si="47"/>
        <v>No</v>
      </c>
    </row>
    <row r="257" spans="1:13" x14ac:dyDescent="0.25">
      <c r="A257" s="2" t="str">
        <f t="shared" si="36"/>
        <v>E256</v>
      </c>
      <c r="B257" s="2" t="s">
        <v>253</v>
      </c>
      <c r="C257" s="2" t="str">
        <f t="shared" ca="1" si="37"/>
        <v>Aug</v>
      </c>
      <c r="D257" s="2" t="str">
        <f t="shared" ca="1" si="38"/>
        <v>North</v>
      </c>
      <c r="E257" s="2" t="str">
        <f t="shared" ca="1" si="39"/>
        <v>Punjab</v>
      </c>
      <c r="F257" s="2" t="str">
        <f t="shared" ca="1" si="40"/>
        <v>Marketing</v>
      </c>
      <c r="G257" s="2" t="str">
        <f t="shared" ca="1" si="41"/>
        <v>Supervisor</v>
      </c>
      <c r="H257" s="2" t="str">
        <f t="shared" ca="1" si="42"/>
        <v>Electronics</v>
      </c>
      <c r="I257" s="2">
        <f t="shared" ca="1" si="43"/>
        <v>75</v>
      </c>
      <c r="J257" s="2">
        <f t="shared" ca="1" si="44"/>
        <v>15750</v>
      </c>
      <c r="K257" s="2">
        <f t="shared" ca="1" si="45"/>
        <v>3307.5</v>
      </c>
      <c r="L257" s="2">
        <f t="shared" ca="1" si="46"/>
        <v>38471</v>
      </c>
      <c r="M257" s="2" t="str">
        <f t="shared" ca="1" si="47"/>
        <v>No</v>
      </c>
    </row>
    <row r="258" spans="1:13" x14ac:dyDescent="0.25">
      <c r="A258" s="2" t="str">
        <f t="shared" si="36"/>
        <v>E257</v>
      </c>
      <c r="B258" s="2" t="s">
        <v>254</v>
      </c>
      <c r="C258" s="2" t="str">
        <f t="shared" ca="1" si="37"/>
        <v>Oct</v>
      </c>
      <c r="D258" s="2" t="str">
        <f t="shared" ca="1" si="38"/>
        <v>North</v>
      </c>
      <c r="E258" s="2" t="str">
        <f t="shared" ca="1" si="39"/>
        <v>Delhi</v>
      </c>
      <c r="F258" s="2" t="str">
        <f t="shared" ca="1" si="40"/>
        <v>HR</v>
      </c>
      <c r="G258" s="2" t="str">
        <f t="shared" ca="1" si="41"/>
        <v>Supervisor</v>
      </c>
      <c r="H258" s="2" t="str">
        <f t="shared" ca="1" si="42"/>
        <v>Shoes</v>
      </c>
      <c r="I258" s="2">
        <f t="shared" ca="1" si="43"/>
        <v>27</v>
      </c>
      <c r="J258" s="2">
        <f t="shared" ca="1" si="44"/>
        <v>18387</v>
      </c>
      <c r="K258" s="2">
        <f t="shared" ca="1" si="45"/>
        <v>367.74</v>
      </c>
      <c r="L258" s="2">
        <f t="shared" ca="1" si="46"/>
        <v>38189</v>
      </c>
      <c r="M258" s="2" t="str">
        <f t="shared" ca="1" si="47"/>
        <v>No</v>
      </c>
    </row>
    <row r="259" spans="1:13" x14ac:dyDescent="0.25">
      <c r="A259" s="2" t="str">
        <f t="shared" ref="A259:A322" si="48">"E"&amp;TEXT(ROW(A258),"000")</f>
        <v>E258</v>
      </c>
      <c r="B259" s="2" t="s">
        <v>255</v>
      </c>
      <c r="C259" s="2" t="str">
        <f t="shared" ref="C259:C322" ca="1" si="49">CHOOSE(RANDBETWEEN(1,12),"Jan","Feb","Mar","Apr","May","Jun","Jul","Aug","Sep","Oct","Nov","Dec")</f>
        <v>Aug</v>
      </c>
      <c r="D259" s="2" t="str">
        <f t="shared" ref="D259:D322" ca="1" si="50">CHOOSE(RANDBETWEEN(1,4),"North","South","East","West")</f>
        <v>East</v>
      </c>
      <c r="E259" s="2" t="str">
        <f t="shared" ref="E259:E322" ca="1" si="51">CHOOSE(RANDBETWEEN(1,6),"Punjab","Gujarat","Tamil Nadu","Madhya Pradesh","Delhi","West Bengal")</f>
        <v>Madhya Pradesh</v>
      </c>
      <c r="F259" s="2" t="str">
        <f t="shared" ref="F259:F322" ca="1" si="52">CHOOSE(RANDBETWEEN(1,6),"Sales","Marketing","Finance","Operations","HR","Customer Support")</f>
        <v>Finance</v>
      </c>
      <c r="G259" s="2" t="str">
        <f t="shared" ref="G259:G322" ca="1" si="53">CHOOSE(RANDBETWEEN(1,4),"Analyst","Executive","Supervisor","Specialist")</f>
        <v>Executive</v>
      </c>
      <c r="H259" s="2" t="str">
        <f t="shared" ref="H259:H322" ca="1" si="54">CHOOSE(RANDBETWEEN(1,4),"Clothing","Shoes","Electronics","Books")</f>
        <v>Electronics</v>
      </c>
      <c r="I259" s="2">
        <f t="shared" ref="I259:I322" ca="1" si="55">RANDBETWEEN(5,100)</f>
        <v>61</v>
      </c>
      <c r="J259" s="2">
        <f t="shared" ref="J259:J322" ca="1" si="56">I259*RANDBETWEEN(200,1000)</f>
        <v>46055</v>
      </c>
      <c r="K259" s="2">
        <f t="shared" ref="K259:K322" ca="1" si="57">J259*RANDBETWEEN(-10,30)/100</f>
        <v>4605.5</v>
      </c>
      <c r="L259" s="2">
        <f t="shared" ref="L259:L322" ca="1" si="58">RANDBETWEEN(10000,50000)</f>
        <v>42876</v>
      </c>
      <c r="M259" s="2" t="str">
        <f t="shared" ref="M259:M322" ca="1" si="59">IF(J259&gt;=L259,"Yes","No")</f>
        <v>Yes</v>
      </c>
    </row>
    <row r="260" spans="1:13" x14ac:dyDescent="0.25">
      <c r="A260" s="2" t="str">
        <f t="shared" si="48"/>
        <v>E259</v>
      </c>
      <c r="B260" s="2" t="s">
        <v>256</v>
      </c>
      <c r="C260" s="2" t="str">
        <f t="shared" ca="1" si="49"/>
        <v>Sep</v>
      </c>
      <c r="D260" s="2" t="str">
        <f t="shared" ca="1" si="50"/>
        <v>North</v>
      </c>
      <c r="E260" s="2" t="str">
        <f t="shared" ca="1" si="51"/>
        <v>Delhi</v>
      </c>
      <c r="F260" s="2" t="str">
        <f t="shared" ca="1" si="52"/>
        <v>Operations</v>
      </c>
      <c r="G260" s="2" t="str">
        <f t="shared" ca="1" si="53"/>
        <v>Supervisor</v>
      </c>
      <c r="H260" s="2" t="str">
        <f t="shared" ca="1" si="54"/>
        <v>Clothing</v>
      </c>
      <c r="I260" s="2">
        <f t="shared" ca="1" si="55"/>
        <v>67</v>
      </c>
      <c r="J260" s="2">
        <f t="shared" ca="1" si="56"/>
        <v>14606</v>
      </c>
      <c r="K260" s="2">
        <f t="shared" ca="1" si="57"/>
        <v>1168.48</v>
      </c>
      <c r="L260" s="2">
        <f t="shared" ca="1" si="58"/>
        <v>41948</v>
      </c>
      <c r="M260" s="2" t="str">
        <f t="shared" ca="1" si="59"/>
        <v>No</v>
      </c>
    </row>
    <row r="261" spans="1:13" x14ac:dyDescent="0.25">
      <c r="A261" s="2" t="str">
        <f t="shared" si="48"/>
        <v>E260</v>
      </c>
      <c r="B261" s="2" t="s">
        <v>257</v>
      </c>
      <c r="C261" s="2" t="str">
        <f t="shared" ca="1" si="49"/>
        <v>Jul</v>
      </c>
      <c r="D261" s="2" t="str">
        <f t="shared" ca="1" si="50"/>
        <v>North</v>
      </c>
      <c r="E261" s="2" t="str">
        <f t="shared" ca="1" si="51"/>
        <v>Madhya Pradesh</v>
      </c>
      <c r="F261" s="2" t="str">
        <f t="shared" ca="1" si="52"/>
        <v>Sales</v>
      </c>
      <c r="G261" s="2" t="str">
        <f t="shared" ca="1" si="53"/>
        <v>Analyst</v>
      </c>
      <c r="H261" s="2" t="str">
        <f t="shared" ca="1" si="54"/>
        <v>Shoes</v>
      </c>
      <c r="I261" s="2">
        <f t="shared" ca="1" si="55"/>
        <v>96</v>
      </c>
      <c r="J261" s="2">
        <f t="shared" ca="1" si="56"/>
        <v>29184</v>
      </c>
      <c r="K261" s="2">
        <f t="shared" ca="1" si="57"/>
        <v>4085.76</v>
      </c>
      <c r="L261" s="2">
        <f t="shared" ca="1" si="58"/>
        <v>29454</v>
      </c>
      <c r="M261" s="2" t="str">
        <f t="shared" ca="1" si="59"/>
        <v>No</v>
      </c>
    </row>
    <row r="262" spans="1:13" x14ac:dyDescent="0.25">
      <c r="A262" s="2" t="str">
        <f t="shared" si="48"/>
        <v>E261</v>
      </c>
      <c r="B262" s="2" t="s">
        <v>258</v>
      </c>
      <c r="C262" s="2" t="str">
        <f t="shared" ca="1" si="49"/>
        <v>May</v>
      </c>
      <c r="D262" s="2" t="str">
        <f t="shared" ca="1" si="50"/>
        <v>East</v>
      </c>
      <c r="E262" s="2" t="str">
        <f t="shared" ca="1" si="51"/>
        <v>Madhya Pradesh</v>
      </c>
      <c r="F262" s="2" t="str">
        <f t="shared" ca="1" si="52"/>
        <v>Sales</v>
      </c>
      <c r="G262" s="2" t="str">
        <f t="shared" ca="1" si="53"/>
        <v>Specialist</v>
      </c>
      <c r="H262" s="2" t="str">
        <f t="shared" ca="1" si="54"/>
        <v>Shoes</v>
      </c>
      <c r="I262" s="2">
        <f t="shared" ca="1" si="55"/>
        <v>48</v>
      </c>
      <c r="J262" s="2">
        <f t="shared" ca="1" si="56"/>
        <v>15648</v>
      </c>
      <c r="K262" s="2">
        <f t="shared" ca="1" si="57"/>
        <v>1721.28</v>
      </c>
      <c r="L262" s="2">
        <f t="shared" ca="1" si="58"/>
        <v>15411</v>
      </c>
      <c r="M262" s="2" t="str">
        <f t="shared" ca="1" si="59"/>
        <v>Yes</v>
      </c>
    </row>
    <row r="263" spans="1:13" x14ac:dyDescent="0.25">
      <c r="A263" s="2" t="str">
        <f t="shared" si="48"/>
        <v>E262</v>
      </c>
      <c r="B263" s="2" t="s">
        <v>48</v>
      </c>
      <c r="C263" s="2" t="str">
        <f t="shared" ca="1" si="49"/>
        <v>Dec</v>
      </c>
      <c r="D263" s="2" t="str">
        <f t="shared" ca="1" si="50"/>
        <v>North</v>
      </c>
      <c r="E263" s="2" t="str">
        <f t="shared" ca="1" si="51"/>
        <v>West Bengal</v>
      </c>
      <c r="F263" s="2" t="str">
        <f t="shared" ca="1" si="52"/>
        <v>Customer Support</v>
      </c>
      <c r="G263" s="2" t="str">
        <f t="shared" ca="1" si="53"/>
        <v>Supervisor</v>
      </c>
      <c r="H263" s="2" t="str">
        <f t="shared" ca="1" si="54"/>
        <v>Books</v>
      </c>
      <c r="I263" s="2">
        <f t="shared" ca="1" si="55"/>
        <v>93</v>
      </c>
      <c r="J263" s="2">
        <f t="shared" ca="1" si="56"/>
        <v>65658</v>
      </c>
      <c r="K263" s="2">
        <f t="shared" ca="1" si="57"/>
        <v>17071.080000000002</v>
      </c>
      <c r="L263" s="2">
        <f t="shared" ca="1" si="58"/>
        <v>20970</v>
      </c>
      <c r="M263" s="2" t="str">
        <f t="shared" ca="1" si="59"/>
        <v>Yes</v>
      </c>
    </row>
    <row r="264" spans="1:13" x14ac:dyDescent="0.25">
      <c r="A264" s="2" t="str">
        <f t="shared" si="48"/>
        <v>E263</v>
      </c>
      <c r="B264" s="2" t="s">
        <v>259</v>
      </c>
      <c r="C264" s="2" t="str">
        <f t="shared" ca="1" si="49"/>
        <v>Dec</v>
      </c>
      <c r="D264" s="2" t="str">
        <f t="shared" ca="1" si="50"/>
        <v>East</v>
      </c>
      <c r="E264" s="2" t="str">
        <f t="shared" ca="1" si="51"/>
        <v>Madhya Pradesh</v>
      </c>
      <c r="F264" s="2" t="str">
        <f t="shared" ca="1" si="52"/>
        <v>Operations</v>
      </c>
      <c r="G264" s="2" t="str">
        <f t="shared" ca="1" si="53"/>
        <v>Analyst</v>
      </c>
      <c r="H264" s="2" t="str">
        <f t="shared" ca="1" si="54"/>
        <v>Shoes</v>
      </c>
      <c r="I264" s="2">
        <f t="shared" ca="1" si="55"/>
        <v>51</v>
      </c>
      <c r="J264" s="2">
        <f t="shared" ca="1" si="56"/>
        <v>37791</v>
      </c>
      <c r="K264" s="2">
        <f t="shared" ca="1" si="57"/>
        <v>-377.91</v>
      </c>
      <c r="L264" s="2">
        <f t="shared" ca="1" si="58"/>
        <v>21545</v>
      </c>
      <c r="M264" s="2" t="str">
        <f t="shared" ca="1" si="59"/>
        <v>Yes</v>
      </c>
    </row>
    <row r="265" spans="1:13" x14ac:dyDescent="0.25">
      <c r="A265" s="2" t="str">
        <f t="shared" si="48"/>
        <v>E264</v>
      </c>
      <c r="B265" s="2" t="s">
        <v>22</v>
      </c>
      <c r="C265" s="2" t="str">
        <f t="shared" ca="1" si="49"/>
        <v>Oct</v>
      </c>
      <c r="D265" s="2" t="str">
        <f t="shared" ca="1" si="50"/>
        <v>East</v>
      </c>
      <c r="E265" s="2" t="str">
        <f t="shared" ca="1" si="51"/>
        <v>Gujarat</v>
      </c>
      <c r="F265" s="2" t="str">
        <f t="shared" ca="1" si="52"/>
        <v>Operations</v>
      </c>
      <c r="G265" s="2" t="str">
        <f t="shared" ca="1" si="53"/>
        <v>Executive</v>
      </c>
      <c r="H265" s="2" t="str">
        <f t="shared" ca="1" si="54"/>
        <v>Books</v>
      </c>
      <c r="I265" s="2">
        <f t="shared" ca="1" si="55"/>
        <v>29</v>
      </c>
      <c r="J265" s="2">
        <f t="shared" ca="1" si="56"/>
        <v>22823</v>
      </c>
      <c r="K265" s="2">
        <f t="shared" ca="1" si="57"/>
        <v>2510.5300000000002</v>
      </c>
      <c r="L265" s="2">
        <f t="shared" ca="1" si="58"/>
        <v>39509</v>
      </c>
      <c r="M265" s="2" t="str">
        <f t="shared" ca="1" si="59"/>
        <v>No</v>
      </c>
    </row>
    <row r="266" spans="1:13" x14ac:dyDescent="0.25">
      <c r="A266" s="2" t="str">
        <f t="shared" si="48"/>
        <v>E265</v>
      </c>
      <c r="B266" s="2" t="s">
        <v>260</v>
      </c>
      <c r="C266" s="2" t="str">
        <f t="shared" ca="1" si="49"/>
        <v>Feb</v>
      </c>
      <c r="D266" s="2" t="str">
        <f t="shared" ca="1" si="50"/>
        <v>East</v>
      </c>
      <c r="E266" s="2" t="str">
        <f t="shared" ca="1" si="51"/>
        <v>West Bengal</v>
      </c>
      <c r="F266" s="2" t="str">
        <f t="shared" ca="1" si="52"/>
        <v>Operations</v>
      </c>
      <c r="G266" s="2" t="str">
        <f t="shared" ca="1" si="53"/>
        <v>Analyst</v>
      </c>
      <c r="H266" s="2" t="str">
        <f t="shared" ca="1" si="54"/>
        <v>Clothing</v>
      </c>
      <c r="I266" s="2">
        <f t="shared" ca="1" si="55"/>
        <v>96</v>
      </c>
      <c r="J266" s="2">
        <f t="shared" ca="1" si="56"/>
        <v>44256</v>
      </c>
      <c r="K266" s="2">
        <f t="shared" ca="1" si="57"/>
        <v>-1327.68</v>
      </c>
      <c r="L266" s="2">
        <f t="shared" ca="1" si="58"/>
        <v>45702</v>
      </c>
      <c r="M266" s="2" t="str">
        <f t="shared" ca="1" si="59"/>
        <v>No</v>
      </c>
    </row>
    <row r="267" spans="1:13" x14ac:dyDescent="0.25">
      <c r="A267" s="2" t="str">
        <f t="shared" si="48"/>
        <v>E266</v>
      </c>
      <c r="B267" s="2" t="s">
        <v>261</v>
      </c>
      <c r="C267" s="2" t="str">
        <f t="shared" ca="1" si="49"/>
        <v>Mar</v>
      </c>
      <c r="D267" s="2" t="str">
        <f t="shared" ca="1" si="50"/>
        <v>South</v>
      </c>
      <c r="E267" s="2" t="str">
        <f t="shared" ca="1" si="51"/>
        <v>Gujarat</v>
      </c>
      <c r="F267" s="2" t="str">
        <f t="shared" ca="1" si="52"/>
        <v>Customer Support</v>
      </c>
      <c r="G267" s="2" t="str">
        <f t="shared" ca="1" si="53"/>
        <v>Specialist</v>
      </c>
      <c r="H267" s="2" t="str">
        <f t="shared" ca="1" si="54"/>
        <v>Shoes</v>
      </c>
      <c r="I267" s="2">
        <f t="shared" ca="1" si="55"/>
        <v>62</v>
      </c>
      <c r="J267" s="2">
        <f t="shared" ca="1" si="56"/>
        <v>54870</v>
      </c>
      <c r="K267" s="2">
        <f t="shared" ca="1" si="57"/>
        <v>2743.5</v>
      </c>
      <c r="L267" s="2">
        <f t="shared" ca="1" si="58"/>
        <v>22305</v>
      </c>
      <c r="M267" s="2" t="str">
        <f t="shared" ca="1" si="59"/>
        <v>Yes</v>
      </c>
    </row>
    <row r="268" spans="1:13" x14ac:dyDescent="0.25">
      <c r="A268" s="2" t="str">
        <f t="shared" si="48"/>
        <v>E267</v>
      </c>
      <c r="B268" s="2" t="s">
        <v>262</v>
      </c>
      <c r="C268" s="2" t="str">
        <f t="shared" ca="1" si="49"/>
        <v>May</v>
      </c>
      <c r="D268" s="2" t="str">
        <f t="shared" ca="1" si="50"/>
        <v>North</v>
      </c>
      <c r="E268" s="2" t="str">
        <f t="shared" ca="1" si="51"/>
        <v>Gujarat</v>
      </c>
      <c r="F268" s="2" t="str">
        <f t="shared" ca="1" si="52"/>
        <v>Sales</v>
      </c>
      <c r="G268" s="2" t="str">
        <f t="shared" ca="1" si="53"/>
        <v>Supervisor</v>
      </c>
      <c r="H268" s="2" t="str">
        <f t="shared" ca="1" si="54"/>
        <v>Shoes</v>
      </c>
      <c r="I268" s="2">
        <f t="shared" ca="1" si="55"/>
        <v>81</v>
      </c>
      <c r="J268" s="2">
        <f t="shared" ca="1" si="56"/>
        <v>47952</v>
      </c>
      <c r="K268" s="2">
        <f t="shared" ca="1" si="57"/>
        <v>-2397.6</v>
      </c>
      <c r="L268" s="2">
        <f t="shared" ca="1" si="58"/>
        <v>41863</v>
      </c>
      <c r="M268" s="2" t="str">
        <f t="shared" ca="1" si="59"/>
        <v>Yes</v>
      </c>
    </row>
    <row r="269" spans="1:13" x14ac:dyDescent="0.25">
      <c r="A269" s="2" t="str">
        <f t="shared" si="48"/>
        <v>E268</v>
      </c>
      <c r="B269" s="2" t="s">
        <v>263</v>
      </c>
      <c r="C269" s="2" t="str">
        <f t="shared" ca="1" si="49"/>
        <v>Oct</v>
      </c>
      <c r="D269" s="2" t="str">
        <f t="shared" ca="1" si="50"/>
        <v>East</v>
      </c>
      <c r="E269" s="2" t="str">
        <f t="shared" ca="1" si="51"/>
        <v>Tamil Nadu</v>
      </c>
      <c r="F269" s="2" t="str">
        <f t="shared" ca="1" si="52"/>
        <v>Finance</v>
      </c>
      <c r="G269" s="2" t="str">
        <f t="shared" ca="1" si="53"/>
        <v>Analyst</v>
      </c>
      <c r="H269" s="2" t="str">
        <f t="shared" ca="1" si="54"/>
        <v>Clothing</v>
      </c>
      <c r="I269" s="2">
        <f t="shared" ca="1" si="55"/>
        <v>64</v>
      </c>
      <c r="J269" s="2">
        <f t="shared" ca="1" si="56"/>
        <v>21568</v>
      </c>
      <c r="K269" s="2">
        <f t="shared" ca="1" si="57"/>
        <v>3235.2</v>
      </c>
      <c r="L269" s="2">
        <f t="shared" ca="1" si="58"/>
        <v>43527</v>
      </c>
      <c r="M269" s="2" t="str">
        <f t="shared" ca="1" si="59"/>
        <v>No</v>
      </c>
    </row>
    <row r="270" spans="1:13" x14ac:dyDescent="0.25">
      <c r="A270" s="2" t="str">
        <f t="shared" si="48"/>
        <v>E269</v>
      </c>
      <c r="B270" s="2" t="s">
        <v>264</v>
      </c>
      <c r="C270" s="2" t="str">
        <f t="shared" ca="1" si="49"/>
        <v>Aug</v>
      </c>
      <c r="D270" s="2" t="str">
        <f t="shared" ca="1" si="50"/>
        <v>South</v>
      </c>
      <c r="E270" s="2" t="str">
        <f t="shared" ca="1" si="51"/>
        <v>West Bengal</v>
      </c>
      <c r="F270" s="2" t="str">
        <f t="shared" ca="1" si="52"/>
        <v>HR</v>
      </c>
      <c r="G270" s="2" t="str">
        <f t="shared" ca="1" si="53"/>
        <v>Analyst</v>
      </c>
      <c r="H270" s="2" t="str">
        <f t="shared" ca="1" si="54"/>
        <v>Books</v>
      </c>
      <c r="I270" s="2">
        <f t="shared" ca="1" si="55"/>
        <v>100</v>
      </c>
      <c r="J270" s="2">
        <f t="shared" ca="1" si="56"/>
        <v>43300</v>
      </c>
      <c r="K270" s="2">
        <f t="shared" ca="1" si="57"/>
        <v>12990</v>
      </c>
      <c r="L270" s="2">
        <f t="shared" ca="1" si="58"/>
        <v>21551</v>
      </c>
      <c r="M270" s="2" t="str">
        <f t="shared" ca="1" si="59"/>
        <v>Yes</v>
      </c>
    </row>
    <row r="271" spans="1:13" x14ac:dyDescent="0.25">
      <c r="A271" s="2" t="str">
        <f t="shared" si="48"/>
        <v>E270</v>
      </c>
      <c r="B271" s="2" t="s">
        <v>265</v>
      </c>
      <c r="C271" s="2" t="str">
        <f t="shared" ca="1" si="49"/>
        <v>Oct</v>
      </c>
      <c r="D271" s="2" t="str">
        <f t="shared" ca="1" si="50"/>
        <v>North</v>
      </c>
      <c r="E271" s="2" t="str">
        <f t="shared" ca="1" si="51"/>
        <v>Tamil Nadu</v>
      </c>
      <c r="F271" s="2" t="str">
        <f t="shared" ca="1" si="52"/>
        <v>Operations</v>
      </c>
      <c r="G271" s="2" t="str">
        <f t="shared" ca="1" si="53"/>
        <v>Executive</v>
      </c>
      <c r="H271" s="2" t="str">
        <f t="shared" ca="1" si="54"/>
        <v>Clothing</v>
      </c>
      <c r="I271" s="2">
        <f t="shared" ca="1" si="55"/>
        <v>55</v>
      </c>
      <c r="J271" s="2">
        <f t="shared" ca="1" si="56"/>
        <v>14355</v>
      </c>
      <c r="K271" s="2">
        <f t="shared" ca="1" si="57"/>
        <v>3732.3</v>
      </c>
      <c r="L271" s="2">
        <f t="shared" ca="1" si="58"/>
        <v>32794</v>
      </c>
      <c r="M271" s="2" t="str">
        <f t="shared" ca="1" si="59"/>
        <v>No</v>
      </c>
    </row>
    <row r="272" spans="1:13" x14ac:dyDescent="0.25">
      <c r="A272" s="2" t="str">
        <f t="shared" si="48"/>
        <v>E271</v>
      </c>
      <c r="B272" s="2" t="s">
        <v>5</v>
      </c>
      <c r="C272" s="2" t="str">
        <f t="shared" ca="1" si="49"/>
        <v>Sep</v>
      </c>
      <c r="D272" s="2" t="str">
        <f t="shared" ca="1" si="50"/>
        <v>South</v>
      </c>
      <c r="E272" s="2" t="str">
        <f t="shared" ca="1" si="51"/>
        <v>West Bengal</v>
      </c>
      <c r="F272" s="2" t="str">
        <f t="shared" ca="1" si="52"/>
        <v>Sales</v>
      </c>
      <c r="G272" s="2" t="str">
        <f t="shared" ca="1" si="53"/>
        <v>Supervisor</v>
      </c>
      <c r="H272" s="2" t="str">
        <f t="shared" ca="1" si="54"/>
        <v>Electronics</v>
      </c>
      <c r="I272" s="2">
        <f t="shared" ca="1" si="55"/>
        <v>37</v>
      </c>
      <c r="J272" s="2">
        <f t="shared" ca="1" si="56"/>
        <v>10582</v>
      </c>
      <c r="K272" s="2">
        <f t="shared" ca="1" si="57"/>
        <v>105.82</v>
      </c>
      <c r="L272" s="2">
        <f t="shared" ca="1" si="58"/>
        <v>21099</v>
      </c>
      <c r="M272" s="2" t="str">
        <f t="shared" ca="1" si="59"/>
        <v>No</v>
      </c>
    </row>
    <row r="273" spans="1:13" x14ac:dyDescent="0.25">
      <c r="A273" s="2" t="str">
        <f t="shared" si="48"/>
        <v>E272</v>
      </c>
      <c r="B273" s="2" t="s">
        <v>266</v>
      </c>
      <c r="C273" s="2" t="str">
        <f t="shared" ca="1" si="49"/>
        <v>Oct</v>
      </c>
      <c r="D273" s="2" t="str">
        <f t="shared" ca="1" si="50"/>
        <v>North</v>
      </c>
      <c r="E273" s="2" t="str">
        <f t="shared" ca="1" si="51"/>
        <v>West Bengal</v>
      </c>
      <c r="F273" s="2" t="str">
        <f t="shared" ca="1" si="52"/>
        <v>Marketing</v>
      </c>
      <c r="G273" s="2" t="str">
        <f t="shared" ca="1" si="53"/>
        <v>Supervisor</v>
      </c>
      <c r="H273" s="2" t="str">
        <f t="shared" ca="1" si="54"/>
        <v>Books</v>
      </c>
      <c r="I273" s="2">
        <f t="shared" ca="1" si="55"/>
        <v>58</v>
      </c>
      <c r="J273" s="2">
        <f t="shared" ca="1" si="56"/>
        <v>20996</v>
      </c>
      <c r="K273" s="2">
        <f t="shared" ca="1" si="57"/>
        <v>4199.2</v>
      </c>
      <c r="L273" s="2">
        <f t="shared" ca="1" si="58"/>
        <v>41821</v>
      </c>
      <c r="M273" s="2" t="str">
        <f t="shared" ca="1" si="59"/>
        <v>No</v>
      </c>
    </row>
    <row r="274" spans="1:13" x14ac:dyDescent="0.25">
      <c r="A274" s="2" t="str">
        <f t="shared" si="48"/>
        <v>E273</v>
      </c>
      <c r="B274" s="2" t="s">
        <v>267</v>
      </c>
      <c r="C274" s="2" t="str">
        <f t="shared" ca="1" si="49"/>
        <v>Sep</v>
      </c>
      <c r="D274" s="2" t="str">
        <f t="shared" ca="1" si="50"/>
        <v>East</v>
      </c>
      <c r="E274" s="2" t="str">
        <f t="shared" ca="1" si="51"/>
        <v>Punjab</v>
      </c>
      <c r="F274" s="2" t="str">
        <f t="shared" ca="1" si="52"/>
        <v>Operations</v>
      </c>
      <c r="G274" s="2" t="str">
        <f t="shared" ca="1" si="53"/>
        <v>Executive</v>
      </c>
      <c r="H274" s="2" t="str">
        <f t="shared" ca="1" si="54"/>
        <v>Clothing</v>
      </c>
      <c r="I274" s="2">
        <f t="shared" ca="1" si="55"/>
        <v>76</v>
      </c>
      <c r="J274" s="2">
        <f t="shared" ca="1" si="56"/>
        <v>38912</v>
      </c>
      <c r="K274" s="2">
        <f t="shared" ca="1" si="57"/>
        <v>-389.12</v>
      </c>
      <c r="L274" s="2">
        <f t="shared" ca="1" si="58"/>
        <v>10301</v>
      </c>
      <c r="M274" s="2" t="str">
        <f t="shared" ca="1" si="59"/>
        <v>Yes</v>
      </c>
    </row>
    <row r="275" spans="1:13" x14ac:dyDescent="0.25">
      <c r="A275" s="2" t="str">
        <f t="shared" si="48"/>
        <v>E274</v>
      </c>
      <c r="B275" s="2" t="s">
        <v>268</v>
      </c>
      <c r="C275" s="2" t="str">
        <f t="shared" ca="1" si="49"/>
        <v>May</v>
      </c>
      <c r="D275" s="2" t="str">
        <f t="shared" ca="1" si="50"/>
        <v>West</v>
      </c>
      <c r="E275" s="2" t="str">
        <f t="shared" ca="1" si="51"/>
        <v>Tamil Nadu</v>
      </c>
      <c r="F275" s="2" t="str">
        <f t="shared" ca="1" si="52"/>
        <v>HR</v>
      </c>
      <c r="G275" s="2" t="str">
        <f t="shared" ca="1" si="53"/>
        <v>Analyst</v>
      </c>
      <c r="H275" s="2" t="str">
        <f t="shared" ca="1" si="54"/>
        <v>Electronics</v>
      </c>
      <c r="I275" s="2">
        <f t="shared" ca="1" si="55"/>
        <v>95</v>
      </c>
      <c r="J275" s="2">
        <f t="shared" ca="1" si="56"/>
        <v>38285</v>
      </c>
      <c r="K275" s="2">
        <f t="shared" ca="1" si="57"/>
        <v>10336.950000000001</v>
      </c>
      <c r="L275" s="2">
        <f t="shared" ca="1" si="58"/>
        <v>10799</v>
      </c>
      <c r="M275" s="2" t="str">
        <f t="shared" ca="1" si="59"/>
        <v>Yes</v>
      </c>
    </row>
    <row r="276" spans="1:13" x14ac:dyDescent="0.25">
      <c r="A276" s="2" t="str">
        <f t="shared" si="48"/>
        <v>E275</v>
      </c>
      <c r="B276" s="2" t="s">
        <v>269</v>
      </c>
      <c r="C276" s="2" t="str">
        <f t="shared" ca="1" si="49"/>
        <v>Mar</v>
      </c>
      <c r="D276" s="2" t="str">
        <f t="shared" ca="1" si="50"/>
        <v>North</v>
      </c>
      <c r="E276" s="2" t="str">
        <f t="shared" ca="1" si="51"/>
        <v>Madhya Pradesh</v>
      </c>
      <c r="F276" s="2" t="str">
        <f t="shared" ca="1" si="52"/>
        <v>Customer Support</v>
      </c>
      <c r="G276" s="2" t="str">
        <f t="shared" ca="1" si="53"/>
        <v>Supervisor</v>
      </c>
      <c r="H276" s="2" t="str">
        <f t="shared" ca="1" si="54"/>
        <v>Shoes</v>
      </c>
      <c r="I276" s="2">
        <f t="shared" ca="1" si="55"/>
        <v>13</v>
      </c>
      <c r="J276" s="2">
        <f t="shared" ca="1" si="56"/>
        <v>10322</v>
      </c>
      <c r="K276" s="2">
        <f t="shared" ca="1" si="57"/>
        <v>2270.84</v>
      </c>
      <c r="L276" s="2">
        <f t="shared" ca="1" si="58"/>
        <v>26119</v>
      </c>
      <c r="M276" s="2" t="str">
        <f t="shared" ca="1" si="59"/>
        <v>No</v>
      </c>
    </row>
    <row r="277" spans="1:13" x14ac:dyDescent="0.25">
      <c r="A277" s="2" t="str">
        <f t="shared" si="48"/>
        <v>E276</v>
      </c>
      <c r="B277" s="2" t="s">
        <v>270</v>
      </c>
      <c r="C277" s="2" t="str">
        <f t="shared" ca="1" si="49"/>
        <v>Apr</v>
      </c>
      <c r="D277" s="2" t="str">
        <f t="shared" ca="1" si="50"/>
        <v>West</v>
      </c>
      <c r="E277" s="2" t="str">
        <f t="shared" ca="1" si="51"/>
        <v>Madhya Pradesh</v>
      </c>
      <c r="F277" s="2" t="str">
        <f t="shared" ca="1" si="52"/>
        <v>Customer Support</v>
      </c>
      <c r="G277" s="2" t="str">
        <f t="shared" ca="1" si="53"/>
        <v>Specialist</v>
      </c>
      <c r="H277" s="2" t="str">
        <f t="shared" ca="1" si="54"/>
        <v>Electronics</v>
      </c>
      <c r="I277" s="2">
        <f t="shared" ca="1" si="55"/>
        <v>62</v>
      </c>
      <c r="J277" s="2">
        <f t="shared" ca="1" si="56"/>
        <v>39928</v>
      </c>
      <c r="K277" s="2">
        <f t="shared" ca="1" si="57"/>
        <v>7586.32</v>
      </c>
      <c r="L277" s="2">
        <f t="shared" ca="1" si="58"/>
        <v>28991</v>
      </c>
      <c r="M277" s="2" t="str">
        <f t="shared" ca="1" si="59"/>
        <v>Yes</v>
      </c>
    </row>
    <row r="278" spans="1:13" x14ac:dyDescent="0.25">
      <c r="A278" s="2" t="str">
        <f t="shared" si="48"/>
        <v>E277</v>
      </c>
      <c r="B278" s="2" t="s">
        <v>271</v>
      </c>
      <c r="C278" s="2" t="str">
        <f t="shared" ca="1" si="49"/>
        <v>Jan</v>
      </c>
      <c r="D278" s="2" t="str">
        <f t="shared" ca="1" si="50"/>
        <v>East</v>
      </c>
      <c r="E278" s="2" t="str">
        <f t="shared" ca="1" si="51"/>
        <v>West Bengal</v>
      </c>
      <c r="F278" s="2" t="str">
        <f t="shared" ca="1" si="52"/>
        <v>Marketing</v>
      </c>
      <c r="G278" s="2" t="str">
        <f t="shared" ca="1" si="53"/>
        <v>Executive</v>
      </c>
      <c r="H278" s="2" t="str">
        <f t="shared" ca="1" si="54"/>
        <v>Clothing</v>
      </c>
      <c r="I278" s="2">
        <f t="shared" ca="1" si="55"/>
        <v>62</v>
      </c>
      <c r="J278" s="2">
        <f t="shared" ca="1" si="56"/>
        <v>15004</v>
      </c>
      <c r="K278" s="2">
        <f t="shared" ca="1" si="57"/>
        <v>4051.08</v>
      </c>
      <c r="L278" s="2">
        <f t="shared" ca="1" si="58"/>
        <v>31943</v>
      </c>
      <c r="M278" s="2" t="str">
        <f t="shared" ca="1" si="59"/>
        <v>No</v>
      </c>
    </row>
    <row r="279" spans="1:13" x14ac:dyDescent="0.25">
      <c r="A279" s="2" t="str">
        <f t="shared" si="48"/>
        <v>E278</v>
      </c>
      <c r="B279" s="2" t="s">
        <v>272</v>
      </c>
      <c r="C279" s="2" t="str">
        <f t="shared" ca="1" si="49"/>
        <v>Oct</v>
      </c>
      <c r="D279" s="2" t="str">
        <f t="shared" ca="1" si="50"/>
        <v>East</v>
      </c>
      <c r="E279" s="2" t="str">
        <f t="shared" ca="1" si="51"/>
        <v>West Bengal</v>
      </c>
      <c r="F279" s="2" t="str">
        <f t="shared" ca="1" si="52"/>
        <v>Finance</v>
      </c>
      <c r="G279" s="2" t="str">
        <f t="shared" ca="1" si="53"/>
        <v>Analyst</v>
      </c>
      <c r="H279" s="2" t="str">
        <f t="shared" ca="1" si="54"/>
        <v>Clothing</v>
      </c>
      <c r="I279" s="2">
        <f t="shared" ca="1" si="55"/>
        <v>25</v>
      </c>
      <c r="J279" s="2">
        <f t="shared" ca="1" si="56"/>
        <v>11875</v>
      </c>
      <c r="K279" s="2">
        <f t="shared" ca="1" si="57"/>
        <v>118.75</v>
      </c>
      <c r="L279" s="2">
        <f t="shared" ca="1" si="58"/>
        <v>37249</v>
      </c>
      <c r="M279" s="2" t="str">
        <f t="shared" ca="1" si="59"/>
        <v>No</v>
      </c>
    </row>
    <row r="280" spans="1:13" x14ac:dyDescent="0.25">
      <c r="A280" s="2" t="str">
        <f t="shared" si="48"/>
        <v>E279</v>
      </c>
      <c r="B280" s="2" t="s">
        <v>273</v>
      </c>
      <c r="C280" s="2" t="str">
        <f t="shared" ca="1" si="49"/>
        <v>Jan</v>
      </c>
      <c r="D280" s="2" t="str">
        <f t="shared" ca="1" si="50"/>
        <v>North</v>
      </c>
      <c r="E280" s="2" t="str">
        <f t="shared" ca="1" si="51"/>
        <v>Delhi</v>
      </c>
      <c r="F280" s="2" t="str">
        <f t="shared" ca="1" si="52"/>
        <v>Customer Support</v>
      </c>
      <c r="G280" s="2" t="str">
        <f t="shared" ca="1" si="53"/>
        <v>Specialist</v>
      </c>
      <c r="H280" s="2" t="str">
        <f t="shared" ca="1" si="54"/>
        <v>Shoes</v>
      </c>
      <c r="I280" s="2">
        <f t="shared" ca="1" si="55"/>
        <v>6</v>
      </c>
      <c r="J280" s="2">
        <f t="shared" ca="1" si="56"/>
        <v>4560</v>
      </c>
      <c r="K280" s="2">
        <f t="shared" ca="1" si="57"/>
        <v>182.4</v>
      </c>
      <c r="L280" s="2">
        <f t="shared" ca="1" si="58"/>
        <v>34370</v>
      </c>
      <c r="M280" s="2" t="str">
        <f t="shared" ca="1" si="59"/>
        <v>No</v>
      </c>
    </row>
    <row r="281" spans="1:13" x14ac:dyDescent="0.25">
      <c r="A281" s="2" t="str">
        <f t="shared" si="48"/>
        <v>E280</v>
      </c>
      <c r="B281" s="2" t="s">
        <v>274</v>
      </c>
      <c r="C281" s="2" t="str">
        <f t="shared" ca="1" si="49"/>
        <v>Sep</v>
      </c>
      <c r="D281" s="2" t="str">
        <f t="shared" ca="1" si="50"/>
        <v>West</v>
      </c>
      <c r="E281" s="2" t="str">
        <f t="shared" ca="1" si="51"/>
        <v>Delhi</v>
      </c>
      <c r="F281" s="2" t="str">
        <f t="shared" ca="1" si="52"/>
        <v>HR</v>
      </c>
      <c r="G281" s="2" t="str">
        <f t="shared" ca="1" si="53"/>
        <v>Executive</v>
      </c>
      <c r="H281" s="2" t="str">
        <f t="shared" ca="1" si="54"/>
        <v>Electronics</v>
      </c>
      <c r="I281" s="2">
        <f t="shared" ca="1" si="55"/>
        <v>20</v>
      </c>
      <c r="J281" s="2">
        <f t="shared" ca="1" si="56"/>
        <v>17520</v>
      </c>
      <c r="K281" s="2">
        <f t="shared" ca="1" si="57"/>
        <v>3153.6</v>
      </c>
      <c r="L281" s="2">
        <f t="shared" ca="1" si="58"/>
        <v>46516</v>
      </c>
      <c r="M281" s="2" t="str">
        <f t="shared" ca="1" si="59"/>
        <v>No</v>
      </c>
    </row>
    <row r="282" spans="1:13" x14ac:dyDescent="0.25">
      <c r="A282" s="2" t="str">
        <f t="shared" si="48"/>
        <v>E281</v>
      </c>
      <c r="B282" s="2" t="s">
        <v>275</v>
      </c>
      <c r="C282" s="2" t="str">
        <f t="shared" ca="1" si="49"/>
        <v>Oct</v>
      </c>
      <c r="D282" s="2" t="str">
        <f t="shared" ca="1" si="50"/>
        <v>North</v>
      </c>
      <c r="E282" s="2" t="str">
        <f t="shared" ca="1" si="51"/>
        <v>Tamil Nadu</v>
      </c>
      <c r="F282" s="2" t="str">
        <f t="shared" ca="1" si="52"/>
        <v>Marketing</v>
      </c>
      <c r="G282" s="2" t="str">
        <f t="shared" ca="1" si="53"/>
        <v>Executive</v>
      </c>
      <c r="H282" s="2" t="str">
        <f t="shared" ca="1" si="54"/>
        <v>Clothing</v>
      </c>
      <c r="I282" s="2">
        <f t="shared" ca="1" si="55"/>
        <v>6</v>
      </c>
      <c r="J282" s="2">
        <f t="shared" ca="1" si="56"/>
        <v>3990</v>
      </c>
      <c r="K282" s="2">
        <f t="shared" ca="1" si="57"/>
        <v>957.6</v>
      </c>
      <c r="L282" s="2">
        <f t="shared" ca="1" si="58"/>
        <v>29478</v>
      </c>
      <c r="M282" s="2" t="str">
        <f t="shared" ca="1" si="59"/>
        <v>No</v>
      </c>
    </row>
    <row r="283" spans="1:13" x14ac:dyDescent="0.25">
      <c r="A283" s="2" t="str">
        <f t="shared" si="48"/>
        <v>E282</v>
      </c>
      <c r="B283" s="2" t="s">
        <v>276</v>
      </c>
      <c r="C283" s="2" t="str">
        <f t="shared" ca="1" si="49"/>
        <v>Apr</v>
      </c>
      <c r="D283" s="2" t="str">
        <f t="shared" ca="1" si="50"/>
        <v>South</v>
      </c>
      <c r="E283" s="2" t="str">
        <f t="shared" ca="1" si="51"/>
        <v>Tamil Nadu</v>
      </c>
      <c r="F283" s="2" t="str">
        <f t="shared" ca="1" si="52"/>
        <v>Sales</v>
      </c>
      <c r="G283" s="2" t="str">
        <f t="shared" ca="1" si="53"/>
        <v>Executive</v>
      </c>
      <c r="H283" s="2" t="str">
        <f t="shared" ca="1" si="54"/>
        <v>Books</v>
      </c>
      <c r="I283" s="2">
        <f t="shared" ca="1" si="55"/>
        <v>93</v>
      </c>
      <c r="J283" s="2">
        <f t="shared" ca="1" si="56"/>
        <v>35526</v>
      </c>
      <c r="K283" s="2">
        <f t="shared" ca="1" si="57"/>
        <v>8170.98</v>
      </c>
      <c r="L283" s="2">
        <f t="shared" ca="1" si="58"/>
        <v>13273</v>
      </c>
      <c r="M283" s="2" t="str">
        <f t="shared" ca="1" si="59"/>
        <v>Yes</v>
      </c>
    </row>
    <row r="284" spans="1:13" x14ac:dyDescent="0.25">
      <c r="A284" s="2" t="str">
        <f t="shared" si="48"/>
        <v>E283</v>
      </c>
      <c r="B284" s="2" t="s">
        <v>277</v>
      </c>
      <c r="C284" s="2" t="str">
        <f t="shared" ca="1" si="49"/>
        <v>Apr</v>
      </c>
      <c r="D284" s="2" t="str">
        <f t="shared" ca="1" si="50"/>
        <v>South</v>
      </c>
      <c r="E284" s="2" t="str">
        <f t="shared" ca="1" si="51"/>
        <v>West Bengal</v>
      </c>
      <c r="F284" s="2" t="str">
        <f t="shared" ca="1" si="52"/>
        <v>Operations</v>
      </c>
      <c r="G284" s="2" t="str">
        <f t="shared" ca="1" si="53"/>
        <v>Executive</v>
      </c>
      <c r="H284" s="2" t="str">
        <f t="shared" ca="1" si="54"/>
        <v>Clothing</v>
      </c>
      <c r="I284" s="2">
        <f t="shared" ca="1" si="55"/>
        <v>69</v>
      </c>
      <c r="J284" s="2">
        <f t="shared" ca="1" si="56"/>
        <v>36708</v>
      </c>
      <c r="K284" s="2">
        <f t="shared" ca="1" si="57"/>
        <v>734.16</v>
      </c>
      <c r="L284" s="2">
        <f t="shared" ca="1" si="58"/>
        <v>46573</v>
      </c>
      <c r="M284" s="2" t="str">
        <f t="shared" ca="1" si="59"/>
        <v>No</v>
      </c>
    </row>
    <row r="285" spans="1:13" x14ac:dyDescent="0.25">
      <c r="A285" s="2" t="str">
        <f t="shared" si="48"/>
        <v>E284</v>
      </c>
      <c r="B285" s="2" t="s">
        <v>278</v>
      </c>
      <c r="C285" s="2" t="str">
        <f t="shared" ca="1" si="49"/>
        <v>Jan</v>
      </c>
      <c r="D285" s="2" t="str">
        <f t="shared" ca="1" si="50"/>
        <v>West</v>
      </c>
      <c r="E285" s="2" t="str">
        <f t="shared" ca="1" si="51"/>
        <v>Gujarat</v>
      </c>
      <c r="F285" s="2" t="str">
        <f t="shared" ca="1" si="52"/>
        <v>Customer Support</v>
      </c>
      <c r="G285" s="2" t="str">
        <f t="shared" ca="1" si="53"/>
        <v>Supervisor</v>
      </c>
      <c r="H285" s="2" t="str">
        <f t="shared" ca="1" si="54"/>
        <v>Clothing</v>
      </c>
      <c r="I285" s="2">
        <f t="shared" ca="1" si="55"/>
        <v>53</v>
      </c>
      <c r="J285" s="2">
        <f t="shared" ca="1" si="56"/>
        <v>47382</v>
      </c>
      <c r="K285" s="2">
        <f t="shared" ca="1" si="57"/>
        <v>-4264.38</v>
      </c>
      <c r="L285" s="2">
        <f t="shared" ca="1" si="58"/>
        <v>33566</v>
      </c>
      <c r="M285" s="2" t="str">
        <f t="shared" ca="1" si="59"/>
        <v>Yes</v>
      </c>
    </row>
    <row r="286" spans="1:13" x14ac:dyDescent="0.25">
      <c r="A286" s="2" t="str">
        <f t="shared" si="48"/>
        <v>E285</v>
      </c>
      <c r="B286" s="2" t="s">
        <v>28</v>
      </c>
      <c r="C286" s="2" t="str">
        <f t="shared" ca="1" si="49"/>
        <v>Sep</v>
      </c>
      <c r="D286" s="2" t="str">
        <f t="shared" ca="1" si="50"/>
        <v>West</v>
      </c>
      <c r="E286" s="2" t="str">
        <f t="shared" ca="1" si="51"/>
        <v>Tamil Nadu</v>
      </c>
      <c r="F286" s="2" t="str">
        <f t="shared" ca="1" si="52"/>
        <v>Sales</v>
      </c>
      <c r="G286" s="2" t="str">
        <f t="shared" ca="1" si="53"/>
        <v>Supervisor</v>
      </c>
      <c r="H286" s="2" t="str">
        <f t="shared" ca="1" si="54"/>
        <v>Shoes</v>
      </c>
      <c r="I286" s="2">
        <f t="shared" ca="1" si="55"/>
        <v>90</v>
      </c>
      <c r="J286" s="2">
        <f t="shared" ca="1" si="56"/>
        <v>42390</v>
      </c>
      <c r="K286" s="2">
        <f t="shared" ca="1" si="57"/>
        <v>12293.1</v>
      </c>
      <c r="L286" s="2">
        <f t="shared" ca="1" si="58"/>
        <v>14553</v>
      </c>
      <c r="M286" s="2" t="str">
        <f t="shared" ca="1" si="59"/>
        <v>Yes</v>
      </c>
    </row>
    <row r="287" spans="1:13" x14ac:dyDescent="0.25">
      <c r="A287" s="2" t="str">
        <f t="shared" si="48"/>
        <v>E286</v>
      </c>
      <c r="B287" s="2" t="s">
        <v>279</v>
      </c>
      <c r="C287" s="2" t="str">
        <f t="shared" ca="1" si="49"/>
        <v>Feb</v>
      </c>
      <c r="D287" s="2" t="str">
        <f t="shared" ca="1" si="50"/>
        <v>South</v>
      </c>
      <c r="E287" s="2" t="str">
        <f t="shared" ca="1" si="51"/>
        <v>Madhya Pradesh</v>
      </c>
      <c r="F287" s="2" t="str">
        <f t="shared" ca="1" si="52"/>
        <v>Finance</v>
      </c>
      <c r="G287" s="2" t="str">
        <f t="shared" ca="1" si="53"/>
        <v>Supervisor</v>
      </c>
      <c r="H287" s="2" t="str">
        <f t="shared" ca="1" si="54"/>
        <v>Shoes</v>
      </c>
      <c r="I287" s="2">
        <f t="shared" ca="1" si="55"/>
        <v>50</v>
      </c>
      <c r="J287" s="2">
        <f t="shared" ca="1" si="56"/>
        <v>46950</v>
      </c>
      <c r="K287" s="2">
        <f t="shared" ca="1" si="57"/>
        <v>2817</v>
      </c>
      <c r="L287" s="2">
        <f t="shared" ca="1" si="58"/>
        <v>10148</v>
      </c>
      <c r="M287" s="2" t="str">
        <f t="shared" ca="1" si="59"/>
        <v>Yes</v>
      </c>
    </row>
    <row r="288" spans="1:13" x14ac:dyDescent="0.25">
      <c r="A288" s="2" t="str">
        <f t="shared" si="48"/>
        <v>E287</v>
      </c>
      <c r="B288" s="2" t="s">
        <v>280</v>
      </c>
      <c r="C288" s="2" t="str">
        <f t="shared" ca="1" si="49"/>
        <v>Jun</v>
      </c>
      <c r="D288" s="2" t="str">
        <f t="shared" ca="1" si="50"/>
        <v>South</v>
      </c>
      <c r="E288" s="2" t="str">
        <f t="shared" ca="1" si="51"/>
        <v>Delhi</v>
      </c>
      <c r="F288" s="2" t="str">
        <f t="shared" ca="1" si="52"/>
        <v>Sales</v>
      </c>
      <c r="G288" s="2" t="str">
        <f t="shared" ca="1" si="53"/>
        <v>Supervisor</v>
      </c>
      <c r="H288" s="2" t="str">
        <f t="shared" ca="1" si="54"/>
        <v>Books</v>
      </c>
      <c r="I288" s="2">
        <f t="shared" ca="1" si="55"/>
        <v>56</v>
      </c>
      <c r="J288" s="2">
        <f t="shared" ca="1" si="56"/>
        <v>52304</v>
      </c>
      <c r="K288" s="2">
        <f t="shared" ca="1" si="57"/>
        <v>8891.68</v>
      </c>
      <c r="L288" s="2">
        <f t="shared" ca="1" si="58"/>
        <v>22233</v>
      </c>
      <c r="M288" s="2" t="str">
        <f t="shared" ca="1" si="59"/>
        <v>Yes</v>
      </c>
    </row>
    <row r="289" spans="1:13" x14ac:dyDescent="0.25">
      <c r="A289" s="2" t="str">
        <f t="shared" si="48"/>
        <v>E288</v>
      </c>
      <c r="B289" s="2" t="s">
        <v>281</v>
      </c>
      <c r="C289" s="2" t="str">
        <f t="shared" ca="1" si="49"/>
        <v>Jul</v>
      </c>
      <c r="D289" s="2" t="str">
        <f t="shared" ca="1" si="50"/>
        <v>South</v>
      </c>
      <c r="E289" s="2" t="str">
        <f t="shared" ca="1" si="51"/>
        <v>Punjab</v>
      </c>
      <c r="F289" s="2" t="str">
        <f t="shared" ca="1" si="52"/>
        <v>Marketing</v>
      </c>
      <c r="G289" s="2" t="str">
        <f t="shared" ca="1" si="53"/>
        <v>Supervisor</v>
      </c>
      <c r="H289" s="2" t="str">
        <f t="shared" ca="1" si="54"/>
        <v>Shoes</v>
      </c>
      <c r="I289" s="2">
        <f t="shared" ca="1" si="55"/>
        <v>89</v>
      </c>
      <c r="J289" s="2">
        <f t="shared" ca="1" si="56"/>
        <v>38448</v>
      </c>
      <c r="K289" s="2">
        <f t="shared" ca="1" si="57"/>
        <v>5382.72</v>
      </c>
      <c r="L289" s="2">
        <f t="shared" ca="1" si="58"/>
        <v>41380</v>
      </c>
      <c r="M289" s="2" t="str">
        <f t="shared" ca="1" si="59"/>
        <v>No</v>
      </c>
    </row>
    <row r="290" spans="1:13" x14ac:dyDescent="0.25">
      <c r="A290" s="2" t="str">
        <f t="shared" si="48"/>
        <v>E289</v>
      </c>
      <c r="B290" s="2" t="s">
        <v>282</v>
      </c>
      <c r="C290" s="2" t="str">
        <f t="shared" ca="1" si="49"/>
        <v>May</v>
      </c>
      <c r="D290" s="2" t="str">
        <f t="shared" ca="1" si="50"/>
        <v>North</v>
      </c>
      <c r="E290" s="2" t="str">
        <f t="shared" ca="1" si="51"/>
        <v>Punjab</v>
      </c>
      <c r="F290" s="2" t="str">
        <f t="shared" ca="1" si="52"/>
        <v>HR</v>
      </c>
      <c r="G290" s="2" t="str">
        <f t="shared" ca="1" si="53"/>
        <v>Executive</v>
      </c>
      <c r="H290" s="2" t="str">
        <f t="shared" ca="1" si="54"/>
        <v>Shoes</v>
      </c>
      <c r="I290" s="2">
        <f t="shared" ca="1" si="55"/>
        <v>15</v>
      </c>
      <c r="J290" s="2">
        <f t="shared" ca="1" si="56"/>
        <v>14400</v>
      </c>
      <c r="K290" s="2">
        <f t="shared" ca="1" si="57"/>
        <v>0</v>
      </c>
      <c r="L290" s="2">
        <f t="shared" ca="1" si="58"/>
        <v>13250</v>
      </c>
      <c r="M290" s="2" t="str">
        <f t="shared" ca="1" si="59"/>
        <v>Yes</v>
      </c>
    </row>
    <row r="291" spans="1:13" x14ac:dyDescent="0.25">
      <c r="A291" s="2" t="str">
        <f t="shared" si="48"/>
        <v>E290</v>
      </c>
      <c r="B291" s="2" t="s">
        <v>283</v>
      </c>
      <c r="C291" s="2" t="str">
        <f t="shared" ca="1" si="49"/>
        <v>Apr</v>
      </c>
      <c r="D291" s="2" t="str">
        <f t="shared" ca="1" si="50"/>
        <v>North</v>
      </c>
      <c r="E291" s="2" t="str">
        <f t="shared" ca="1" si="51"/>
        <v>Tamil Nadu</v>
      </c>
      <c r="F291" s="2" t="str">
        <f t="shared" ca="1" si="52"/>
        <v>Operations</v>
      </c>
      <c r="G291" s="2" t="str">
        <f t="shared" ca="1" si="53"/>
        <v>Analyst</v>
      </c>
      <c r="H291" s="2" t="str">
        <f t="shared" ca="1" si="54"/>
        <v>Shoes</v>
      </c>
      <c r="I291" s="2">
        <f t="shared" ca="1" si="55"/>
        <v>73</v>
      </c>
      <c r="J291" s="2">
        <f t="shared" ca="1" si="56"/>
        <v>17812</v>
      </c>
      <c r="K291" s="2">
        <f t="shared" ca="1" si="57"/>
        <v>2671.8</v>
      </c>
      <c r="L291" s="2">
        <f t="shared" ca="1" si="58"/>
        <v>45271</v>
      </c>
      <c r="M291" s="2" t="str">
        <f t="shared" ca="1" si="59"/>
        <v>No</v>
      </c>
    </row>
    <row r="292" spans="1:13" x14ac:dyDescent="0.25">
      <c r="A292" s="2" t="str">
        <f t="shared" si="48"/>
        <v>E291</v>
      </c>
      <c r="B292" s="2" t="s">
        <v>85</v>
      </c>
      <c r="C292" s="2" t="str">
        <f t="shared" ca="1" si="49"/>
        <v>Jun</v>
      </c>
      <c r="D292" s="2" t="str">
        <f t="shared" ca="1" si="50"/>
        <v>West</v>
      </c>
      <c r="E292" s="2" t="str">
        <f t="shared" ca="1" si="51"/>
        <v>Gujarat</v>
      </c>
      <c r="F292" s="2" t="str">
        <f t="shared" ca="1" si="52"/>
        <v>Customer Support</v>
      </c>
      <c r="G292" s="2" t="str">
        <f t="shared" ca="1" si="53"/>
        <v>Analyst</v>
      </c>
      <c r="H292" s="2" t="str">
        <f t="shared" ca="1" si="54"/>
        <v>Clothing</v>
      </c>
      <c r="I292" s="2">
        <f t="shared" ca="1" si="55"/>
        <v>71</v>
      </c>
      <c r="J292" s="2">
        <f t="shared" ca="1" si="56"/>
        <v>62125</v>
      </c>
      <c r="K292" s="2">
        <f t="shared" ca="1" si="57"/>
        <v>13046.25</v>
      </c>
      <c r="L292" s="2">
        <f t="shared" ca="1" si="58"/>
        <v>36787</v>
      </c>
      <c r="M292" s="2" t="str">
        <f t="shared" ca="1" si="59"/>
        <v>Yes</v>
      </c>
    </row>
    <row r="293" spans="1:13" x14ac:dyDescent="0.25">
      <c r="A293" s="2" t="str">
        <f t="shared" si="48"/>
        <v>E292</v>
      </c>
      <c r="B293" s="2" t="s">
        <v>284</v>
      </c>
      <c r="C293" s="2" t="str">
        <f t="shared" ca="1" si="49"/>
        <v>Jun</v>
      </c>
      <c r="D293" s="2" t="str">
        <f t="shared" ca="1" si="50"/>
        <v>North</v>
      </c>
      <c r="E293" s="2" t="str">
        <f t="shared" ca="1" si="51"/>
        <v>Delhi</v>
      </c>
      <c r="F293" s="2" t="str">
        <f t="shared" ca="1" si="52"/>
        <v>Operations</v>
      </c>
      <c r="G293" s="2" t="str">
        <f t="shared" ca="1" si="53"/>
        <v>Specialist</v>
      </c>
      <c r="H293" s="2" t="str">
        <f t="shared" ca="1" si="54"/>
        <v>Electronics</v>
      </c>
      <c r="I293" s="2">
        <f t="shared" ca="1" si="55"/>
        <v>41</v>
      </c>
      <c r="J293" s="2">
        <f t="shared" ca="1" si="56"/>
        <v>13899</v>
      </c>
      <c r="K293" s="2">
        <f t="shared" ca="1" si="57"/>
        <v>-1250.9100000000001</v>
      </c>
      <c r="L293" s="2">
        <f t="shared" ca="1" si="58"/>
        <v>43184</v>
      </c>
      <c r="M293" s="2" t="str">
        <f t="shared" ca="1" si="59"/>
        <v>No</v>
      </c>
    </row>
    <row r="294" spans="1:13" x14ac:dyDescent="0.25">
      <c r="A294" s="2" t="str">
        <f t="shared" si="48"/>
        <v>E293</v>
      </c>
      <c r="B294" s="2" t="s">
        <v>285</v>
      </c>
      <c r="C294" s="2" t="str">
        <f t="shared" ca="1" si="49"/>
        <v>May</v>
      </c>
      <c r="D294" s="2" t="str">
        <f t="shared" ca="1" si="50"/>
        <v>West</v>
      </c>
      <c r="E294" s="2" t="str">
        <f t="shared" ca="1" si="51"/>
        <v>Tamil Nadu</v>
      </c>
      <c r="F294" s="2" t="str">
        <f t="shared" ca="1" si="52"/>
        <v>Operations</v>
      </c>
      <c r="G294" s="2" t="str">
        <f t="shared" ca="1" si="53"/>
        <v>Supervisor</v>
      </c>
      <c r="H294" s="2" t="str">
        <f t="shared" ca="1" si="54"/>
        <v>Electronics</v>
      </c>
      <c r="I294" s="2">
        <f t="shared" ca="1" si="55"/>
        <v>99</v>
      </c>
      <c r="J294" s="2">
        <f t="shared" ca="1" si="56"/>
        <v>53361</v>
      </c>
      <c r="K294" s="2">
        <f t="shared" ca="1" si="57"/>
        <v>12273.03</v>
      </c>
      <c r="L294" s="2">
        <f t="shared" ca="1" si="58"/>
        <v>19559</v>
      </c>
      <c r="M294" s="2" t="str">
        <f t="shared" ca="1" si="59"/>
        <v>Yes</v>
      </c>
    </row>
    <row r="295" spans="1:13" x14ac:dyDescent="0.25">
      <c r="A295" s="2" t="str">
        <f t="shared" si="48"/>
        <v>E294</v>
      </c>
      <c r="B295" s="2" t="s">
        <v>286</v>
      </c>
      <c r="C295" s="2" t="str">
        <f t="shared" ca="1" si="49"/>
        <v>Oct</v>
      </c>
      <c r="D295" s="2" t="str">
        <f t="shared" ca="1" si="50"/>
        <v>East</v>
      </c>
      <c r="E295" s="2" t="str">
        <f t="shared" ca="1" si="51"/>
        <v>Punjab</v>
      </c>
      <c r="F295" s="2" t="str">
        <f t="shared" ca="1" si="52"/>
        <v>Operations</v>
      </c>
      <c r="G295" s="2" t="str">
        <f t="shared" ca="1" si="53"/>
        <v>Supervisor</v>
      </c>
      <c r="H295" s="2" t="str">
        <f t="shared" ca="1" si="54"/>
        <v>Books</v>
      </c>
      <c r="I295" s="2">
        <f t="shared" ca="1" si="55"/>
        <v>59</v>
      </c>
      <c r="J295" s="2">
        <f t="shared" ca="1" si="56"/>
        <v>28379</v>
      </c>
      <c r="K295" s="2">
        <f t="shared" ca="1" si="57"/>
        <v>2554.11</v>
      </c>
      <c r="L295" s="2">
        <f t="shared" ca="1" si="58"/>
        <v>18428</v>
      </c>
      <c r="M295" s="2" t="str">
        <f t="shared" ca="1" si="59"/>
        <v>Yes</v>
      </c>
    </row>
    <row r="296" spans="1:13" x14ac:dyDescent="0.25">
      <c r="A296" s="2" t="str">
        <f t="shared" si="48"/>
        <v>E295</v>
      </c>
      <c r="B296" s="2" t="s">
        <v>287</v>
      </c>
      <c r="C296" s="2" t="str">
        <f t="shared" ca="1" si="49"/>
        <v>Mar</v>
      </c>
      <c r="D296" s="2" t="str">
        <f t="shared" ca="1" si="50"/>
        <v>South</v>
      </c>
      <c r="E296" s="2" t="str">
        <f t="shared" ca="1" si="51"/>
        <v>Delhi</v>
      </c>
      <c r="F296" s="2" t="str">
        <f t="shared" ca="1" si="52"/>
        <v>Sales</v>
      </c>
      <c r="G296" s="2" t="str">
        <f t="shared" ca="1" si="53"/>
        <v>Analyst</v>
      </c>
      <c r="H296" s="2" t="str">
        <f t="shared" ca="1" si="54"/>
        <v>Electronics</v>
      </c>
      <c r="I296" s="2">
        <f t="shared" ca="1" si="55"/>
        <v>72</v>
      </c>
      <c r="J296" s="2">
        <f t="shared" ca="1" si="56"/>
        <v>16920</v>
      </c>
      <c r="K296" s="2">
        <f t="shared" ca="1" si="57"/>
        <v>-846</v>
      </c>
      <c r="L296" s="2">
        <f t="shared" ca="1" si="58"/>
        <v>19915</v>
      </c>
      <c r="M296" s="2" t="str">
        <f t="shared" ca="1" si="59"/>
        <v>No</v>
      </c>
    </row>
    <row r="297" spans="1:13" x14ac:dyDescent="0.25">
      <c r="A297" s="2" t="str">
        <f t="shared" si="48"/>
        <v>E296</v>
      </c>
      <c r="B297" s="2" t="s">
        <v>288</v>
      </c>
      <c r="C297" s="2" t="str">
        <f t="shared" ca="1" si="49"/>
        <v>May</v>
      </c>
      <c r="D297" s="2" t="str">
        <f t="shared" ca="1" si="50"/>
        <v>South</v>
      </c>
      <c r="E297" s="2" t="str">
        <f t="shared" ca="1" si="51"/>
        <v>Madhya Pradesh</v>
      </c>
      <c r="F297" s="2" t="str">
        <f t="shared" ca="1" si="52"/>
        <v>Sales</v>
      </c>
      <c r="G297" s="2" t="str">
        <f t="shared" ca="1" si="53"/>
        <v>Analyst</v>
      </c>
      <c r="H297" s="2" t="str">
        <f t="shared" ca="1" si="54"/>
        <v>Electronics</v>
      </c>
      <c r="I297" s="2">
        <f t="shared" ca="1" si="55"/>
        <v>50</v>
      </c>
      <c r="J297" s="2">
        <f t="shared" ca="1" si="56"/>
        <v>12850</v>
      </c>
      <c r="K297" s="2">
        <f t="shared" ca="1" si="57"/>
        <v>385.5</v>
      </c>
      <c r="L297" s="2">
        <f t="shared" ca="1" si="58"/>
        <v>18192</v>
      </c>
      <c r="M297" s="2" t="str">
        <f t="shared" ca="1" si="59"/>
        <v>No</v>
      </c>
    </row>
    <row r="298" spans="1:13" x14ac:dyDescent="0.25">
      <c r="A298" s="2" t="str">
        <f t="shared" si="48"/>
        <v>E297</v>
      </c>
      <c r="B298" s="2" t="s">
        <v>289</v>
      </c>
      <c r="C298" s="2" t="str">
        <f t="shared" ca="1" si="49"/>
        <v>Jul</v>
      </c>
      <c r="D298" s="2" t="str">
        <f t="shared" ca="1" si="50"/>
        <v>South</v>
      </c>
      <c r="E298" s="2" t="str">
        <f t="shared" ca="1" si="51"/>
        <v>Gujarat</v>
      </c>
      <c r="F298" s="2" t="str">
        <f t="shared" ca="1" si="52"/>
        <v>Marketing</v>
      </c>
      <c r="G298" s="2" t="str">
        <f t="shared" ca="1" si="53"/>
        <v>Executive</v>
      </c>
      <c r="H298" s="2" t="str">
        <f t="shared" ca="1" si="54"/>
        <v>Electronics</v>
      </c>
      <c r="I298" s="2">
        <f t="shared" ca="1" si="55"/>
        <v>60</v>
      </c>
      <c r="J298" s="2">
        <f t="shared" ca="1" si="56"/>
        <v>38700</v>
      </c>
      <c r="K298" s="2">
        <f t="shared" ca="1" si="57"/>
        <v>-3870</v>
      </c>
      <c r="L298" s="2">
        <f t="shared" ca="1" si="58"/>
        <v>45463</v>
      </c>
      <c r="M298" s="2" t="str">
        <f t="shared" ca="1" si="59"/>
        <v>No</v>
      </c>
    </row>
    <row r="299" spans="1:13" x14ac:dyDescent="0.25">
      <c r="A299" s="2" t="str">
        <f t="shared" si="48"/>
        <v>E298</v>
      </c>
      <c r="B299" s="2" t="s">
        <v>54</v>
      </c>
      <c r="C299" s="2" t="str">
        <f t="shared" ca="1" si="49"/>
        <v>Nov</v>
      </c>
      <c r="D299" s="2" t="str">
        <f t="shared" ca="1" si="50"/>
        <v>South</v>
      </c>
      <c r="E299" s="2" t="str">
        <f t="shared" ca="1" si="51"/>
        <v>Madhya Pradesh</v>
      </c>
      <c r="F299" s="2" t="str">
        <f t="shared" ca="1" si="52"/>
        <v>Marketing</v>
      </c>
      <c r="G299" s="2" t="str">
        <f t="shared" ca="1" si="53"/>
        <v>Specialist</v>
      </c>
      <c r="H299" s="2" t="str">
        <f t="shared" ca="1" si="54"/>
        <v>Shoes</v>
      </c>
      <c r="I299" s="2">
        <f t="shared" ca="1" si="55"/>
        <v>35</v>
      </c>
      <c r="J299" s="2">
        <f t="shared" ca="1" si="56"/>
        <v>13755</v>
      </c>
      <c r="K299" s="2">
        <f t="shared" ca="1" si="57"/>
        <v>1100.4000000000001</v>
      </c>
      <c r="L299" s="2">
        <f t="shared" ca="1" si="58"/>
        <v>30519</v>
      </c>
      <c r="M299" s="2" t="str">
        <f t="shared" ca="1" si="59"/>
        <v>No</v>
      </c>
    </row>
    <row r="300" spans="1:13" x14ac:dyDescent="0.25">
      <c r="A300" s="2" t="str">
        <f t="shared" si="48"/>
        <v>E299</v>
      </c>
      <c r="B300" s="2" t="s">
        <v>290</v>
      </c>
      <c r="C300" s="2" t="str">
        <f t="shared" ca="1" si="49"/>
        <v>Aug</v>
      </c>
      <c r="D300" s="2" t="str">
        <f t="shared" ca="1" si="50"/>
        <v>West</v>
      </c>
      <c r="E300" s="2" t="str">
        <f t="shared" ca="1" si="51"/>
        <v>Delhi</v>
      </c>
      <c r="F300" s="2" t="str">
        <f t="shared" ca="1" si="52"/>
        <v>Finance</v>
      </c>
      <c r="G300" s="2" t="str">
        <f t="shared" ca="1" si="53"/>
        <v>Executive</v>
      </c>
      <c r="H300" s="2" t="str">
        <f t="shared" ca="1" si="54"/>
        <v>Electronics</v>
      </c>
      <c r="I300" s="2">
        <f t="shared" ca="1" si="55"/>
        <v>80</v>
      </c>
      <c r="J300" s="2">
        <f t="shared" ca="1" si="56"/>
        <v>63600</v>
      </c>
      <c r="K300" s="2">
        <f t="shared" ca="1" si="57"/>
        <v>5724</v>
      </c>
      <c r="L300" s="2">
        <f t="shared" ca="1" si="58"/>
        <v>20404</v>
      </c>
      <c r="M300" s="2" t="str">
        <f t="shared" ca="1" si="59"/>
        <v>Yes</v>
      </c>
    </row>
    <row r="301" spans="1:13" x14ac:dyDescent="0.25">
      <c r="A301" s="2" t="str">
        <f t="shared" si="48"/>
        <v>E300</v>
      </c>
      <c r="B301" s="2" t="s">
        <v>4</v>
      </c>
      <c r="C301" s="2" t="str">
        <f t="shared" ca="1" si="49"/>
        <v>Nov</v>
      </c>
      <c r="D301" s="2" t="str">
        <f t="shared" ca="1" si="50"/>
        <v>East</v>
      </c>
      <c r="E301" s="2" t="str">
        <f t="shared" ca="1" si="51"/>
        <v>Gujarat</v>
      </c>
      <c r="F301" s="2" t="str">
        <f t="shared" ca="1" si="52"/>
        <v>Customer Support</v>
      </c>
      <c r="G301" s="2" t="str">
        <f t="shared" ca="1" si="53"/>
        <v>Supervisor</v>
      </c>
      <c r="H301" s="2" t="str">
        <f t="shared" ca="1" si="54"/>
        <v>Shoes</v>
      </c>
      <c r="I301" s="2">
        <f t="shared" ca="1" si="55"/>
        <v>73</v>
      </c>
      <c r="J301" s="2">
        <f t="shared" ca="1" si="56"/>
        <v>50005</v>
      </c>
      <c r="K301" s="2">
        <f t="shared" ca="1" si="57"/>
        <v>5000.5</v>
      </c>
      <c r="L301" s="2">
        <f t="shared" ca="1" si="58"/>
        <v>10743</v>
      </c>
      <c r="M301" s="2" t="str">
        <f t="shared" ca="1" si="59"/>
        <v>Yes</v>
      </c>
    </row>
    <row r="302" spans="1:13" x14ac:dyDescent="0.25">
      <c r="A302" s="2" t="str">
        <f t="shared" si="48"/>
        <v>E301</v>
      </c>
      <c r="B302" s="2" t="s">
        <v>27</v>
      </c>
      <c r="C302" s="2" t="str">
        <f t="shared" ca="1" si="49"/>
        <v>Jul</v>
      </c>
      <c r="D302" s="2" t="str">
        <f t="shared" ca="1" si="50"/>
        <v>East</v>
      </c>
      <c r="E302" s="2" t="str">
        <f t="shared" ca="1" si="51"/>
        <v>Madhya Pradesh</v>
      </c>
      <c r="F302" s="2" t="str">
        <f t="shared" ca="1" si="52"/>
        <v>Finance</v>
      </c>
      <c r="G302" s="2" t="str">
        <f t="shared" ca="1" si="53"/>
        <v>Executive</v>
      </c>
      <c r="H302" s="2" t="str">
        <f t="shared" ca="1" si="54"/>
        <v>Books</v>
      </c>
      <c r="I302" s="2">
        <f t="shared" ca="1" si="55"/>
        <v>81</v>
      </c>
      <c r="J302" s="2">
        <f t="shared" ca="1" si="56"/>
        <v>72333</v>
      </c>
      <c r="K302" s="2">
        <f t="shared" ca="1" si="57"/>
        <v>5786.64</v>
      </c>
      <c r="L302" s="2">
        <f t="shared" ca="1" si="58"/>
        <v>34636</v>
      </c>
      <c r="M302" s="2" t="str">
        <f t="shared" ca="1" si="59"/>
        <v>Yes</v>
      </c>
    </row>
    <row r="303" spans="1:13" x14ac:dyDescent="0.25">
      <c r="A303" s="2" t="str">
        <f t="shared" si="48"/>
        <v>E302</v>
      </c>
      <c r="B303" s="2" t="s">
        <v>291</v>
      </c>
      <c r="C303" s="2" t="str">
        <f t="shared" ca="1" si="49"/>
        <v>Sep</v>
      </c>
      <c r="D303" s="2" t="str">
        <f t="shared" ca="1" si="50"/>
        <v>North</v>
      </c>
      <c r="E303" s="2" t="str">
        <f t="shared" ca="1" si="51"/>
        <v>Madhya Pradesh</v>
      </c>
      <c r="F303" s="2" t="str">
        <f t="shared" ca="1" si="52"/>
        <v>Customer Support</v>
      </c>
      <c r="G303" s="2" t="str">
        <f t="shared" ca="1" si="53"/>
        <v>Specialist</v>
      </c>
      <c r="H303" s="2" t="str">
        <f t="shared" ca="1" si="54"/>
        <v>Electronics</v>
      </c>
      <c r="I303" s="2">
        <f t="shared" ca="1" si="55"/>
        <v>51</v>
      </c>
      <c r="J303" s="2">
        <f t="shared" ca="1" si="56"/>
        <v>17799</v>
      </c>
      <c r="K303" s="2">
        <f t="shared" ca="1" si="57"/>
        <v>177.99</v>
      </c>
      <c r="L303" s="2">
        <f t="shared" ca="1" si="58"/>
        <v>40898</v>
      </c>
      <c r="M303" s="2" t="str">
        <f t="shared" ca="1" si="59"/>
        <v>No</v>
      </c>
    </row>
    <row r="304" spans="1:13" x14ac:dyDescent="0.25">
      <c r="A304" s="2" t="str">
        <f t="shared" si="48"/>
        <v>E303</v>
      </c>
      <c r="B304" s="2" t="s">
        <v>7</v>
      </c>
      <c r="C304" s="2" t="str">
        <f t="shared" ca="1" si="49"/>
        <v>Dec</v>
      </c>
      <c r="D304" s="2" t="str">
        <f t="shared" ca="1" si="50"/>
        <v>South</v>
      </c>
      <c r="E304" s="2" t="str">
        <f t="shared" ca="1" si="51"/>
        <v>Gujarat</v>
      </c>
      <c r="F304" s="2" t="str">
        <f t="shared" ca="1" si="52"/>
        <v>Marketing</v>
      </c>
      <c r="G304" s="2" t="str">
        <f t="shared" ca="1" si="53"/>
        <v>Specialist</v>
      </c>
      <c r="H304" s="2" t="str">
        <f t="shared" ca="1" si="54"/>
        <v>Shoes</v>
      </c>
      <c r="I304" s="2">
        <f t="shared" ca="1" si="55"/>
        <v>41</v>
      </c>
      <c r="J304" s="2">
        <f t="shared" ca="1" si="56"/>
        <v>22591</v>
      </c>
      <c r="K304" s="2">
        <f t="shared" ca="1" si="57"/>
        <v>2710.92</v>
      </c>
      <c r="L304" s="2">
        <f t="shared" ca="1" si="58"/>
        <v>36841</v>
      </c>
      <c r="M304" s="2" t="str">
        <f t="shared" ca="1" si="59"/>
        <v>No</v>
      </c>
    </row>
    <row r="305" spans="1:13" x14ac:dyDescent="0.25">
      <c r="A305" s="2" t="str">
        <f t="shared" si="48"/>
        <v>E304</v>
      </c>
      <c r="B305" s="2" t="s">
        <v>292</v>
      </c>
      <c r="C305" s="2" t="str">
        <f t="shared" ca="1" si="49"/>
        <v>May</v>
      </c>
      <c r="D305" s="2" t="str">
        <f t="shared" ca="1" si="50"/>
        <v>North</v>
      </c>
      <c r="E305" s="2" t="str">
        <f t="shared" ca="1" si="51"/>
        <v>Madhya Pradesh</v>
      </c>
      <c r="F305" s="2" t="str">
        <f t="shared" ca="1" si="52"/>
        <v>Marketing</v>
      </c>
      <c r="G305" s="2" t="str">
        <f t="shared" ca="1" si="53"/>
        <v>Executive</v>
      </c>
      <c r="H305" s="2" t="str">
        <f t="shared" ca="1" si="54"/>
        <v>Clothing</v>
      </c>
      <c r="I305" s="2">
        <f t="shared" ca="1" si="55"/>
        <v>95</v>
      </c>
      <c r="J305" s="2">
        <f t="shared" ca="1" si="56"/>
        <v>21565</v>
      </c>
      <c r="K305" s="2">
        <f t="shared" ca="1" si="57"/>
        <v>5391.25</v>
      </c>
      <c r="L305" s="2">
        <f t="shared" ca="1" si="58"/>
        <v>39620</v>
      </c>
      <c r="M305" s="2" t="str">
        <f t="shared" ca="1" si="59"/>
        <v>No</v>
      </c>
    </row>
    <row r="306" spans="1:13" x14ac:dyDescent="0.25">
      <c r="A306" s="2" t="str">
        <f t="shared" si="48"/>
        <v>E305</v>
      </c>
      <c r="B306" s="2" t="s">
        <v>293</v>
      </c>
      <c r="C306" s="2" t="str">
        <f t="shared" ca="1" si="49"/>
        <v>Feb</v>
      </c>
      <c r="D306" s="2" t="str">
        <f t="shared" ca="1" si="50"/>
        <v>South</v>
      </c>
      <c r="E306" s="2" t="str">
        <f t="shared" ca="1" si="51"/>
        <v>Gujarat</v>
      </c>
      <c r="F306" s="2" t="str">
        <f t="shared" ca="1" si="52"/>
        <v>Marketing</v>
      </c>
      <c r="G306" s="2" t="str">
        <f t="shared" ca="1" si="53"/>
        <v>Specialist</v>
      </c>
      <c r="H306" s="2" t="str">
        <f t="shared" ca="1" si="54"/>
        <v>Books</v>
      </c>
      <c r="I306" s="2">
        <f t="shared" ca="1" si="55"/>
        <v>50</v>
      </c>
      <c r="J306" s="2">
        <f t="shared" ca="1" si="56"/>
        <v>34700</v>
      </c>
      <c r="K306" s="2">
        <f t="shared" ca="1" si="57"/>
        <v>0</v>
      </c>
      <c r="L306" s="2">
        <f t="shared" ca="1" si="58"/>
        <v>18653</v>
      </c>
      <c r="M306" s="2" t="str">
        <f t="shared" ca="1" si="59"/>
        <v>Yes</v>
      </c>
    </row>
    <row r="307" spans="1:13" x14ac:dyDescent="0.25">
      <c r="A307" s="2" t="str">
        <f t="shared" si="48"/>
        <v>E306</v>
      </c>
      <c r="B307" s="2" t="s">
        <v>294</v>
      </c>
      <c r="C307" s="2" t="str">
        <f t="shared" ca="1" si="49"/>
        <v>Aug</v>
      </c>
      <c r="D307" s="2" t="str">
        <f t="shared" ca="1" si="50"/>
        <v>North</v>
      </c>
      <c r="E307" s="2" t="str">
        <f t="shared" ca="1" si="51"/>
        <v>Tamil Nadu</v>
      </c>
      <c r="F307" s="2" t="str">
        <f t="shared" ca="1" si="52"/>
        <v>Sales</v>
      </c>
      <c r="G307" s="2" t="str">
        <f t="shared" ca="1" si="53"/>
        <v>Supervisor</v>
      </c>
      <c r="H307" s="2" t="str">
        <f t="shared" ca="1" si="54"/>
        <v>Shoes</v>
      </c>
      <c r="I307" s="2">
        <f t="shared" ca="1" si="55"/>
        <v>15</v>
      </c>
      <c r="J307" s="2">
        <f t="shared" ca="1" si="56"/>
        <v>9720</v>
      </c>
      <c r="K307" s="2">
        <f t="shared" ca="1" si="57"/>
        <v>1749.6</v>
      </c>
      <c r="L307" s="2">
        <f t="shared" ca="1" si="58"/>
        <v>11005</v>
      </c>
      <c r="M307" s="2" t="str">
        <f t="shared" ca="1" si="59"/>
        <v>No</v>
      </c>
    </row>
    <row r="308" spans="1:13" x14ac:dyDescent="0.25">
      <c r="A308" s="2" t="str">
        <f t="shared" si="48"/>
        <v>E307</v>
      </c>
      <c r="B308" s="2" t="s">
        <v>295</v>
      </c>
      <c r="C308" s="2" t="str">
        <f t="shared" ca="1" si="49"/>
        <v>Sep</v>
      </c>
      <c r="D308" s="2" t="str">
        <f t="shared" ca="1" si="50"/>
        <v>North</v>
      </c>
      <c r="E308" s="2" t="str">
        <f t="shared" ca="1" si="51"/>
        <v>Punjab</v>
      </c>
      <c r="F308" s="2" t="str">
        <f t="shared" ca="1" si="52"/>
        <v>Customer Support</v>
      </c>
      <c r="G308" s="2" t="str">
        <f t="shared" ca="1" si="53"/>
        <v>Supervisor</v>
      </c>
      <c r="H308" s="2" t="str">
        <f t="shared" ca="1" si="54"/>
        <v>Books</v>
      </c>
      <c r="I308" s="2">
        <f t="shared" ca="1" si="55"/>
        <v>53</v>
      </c>
      <c r="J308" s="2">
        <f t="shared" ca="1" si="56"/>
        <v>45686</v>
      </c>
      <c r="K308" s="2">
        <f t="shared" ca="1" si="57"/>
        <v>456.86</v>
      </c>
      <c r="L308" s="2">
        <f t="shared" ca="1" si="58"/>
        <v>24180</v>
      </c>
      <c r="M308" s="2" t="str">
        <f t="shared" ca="1" si="59"/>
        <v>Yes</v>
      </c>
    </row>
    <row r="309" spans="1:13" x14ac:dyDescent="0.25">
      <c r="A309" s="2" t="str">
        <f t="shared" si="48"/>
        <v>E308</v>
      </c>
      <c r="B309" s="2" t="s">
        <v>15</v>
      </c>
      <c r="C309" s="2" t="str">
        <f t="shared" ca="1" si="49"/>
        <v>Jan</v>
      </c>
      <c r="D309" s="2" t="str">
        <f t="shared" ca="1" si="50"/>
        <v>East</v>
      </c>
      <c r="E309" s="2" t="str">
        <f t="shared" ca="1" si="51"/>
        <v>Delhi</v>
      </c>
      <c r="F309" s="2" t="str">
        <f t="shared" ca="1" si="52"/>
        <v>Customer Support</v>
      </c>
      <c r="G309" s="2" t="str">
        <f t="shared" ca="1" si="53"/>
        <v>Specialist</v>
      </c>
      <c r="H309" s="2" t="str">
        <f t="shared" ca="1" si="54"/>
        <v>Electronics</v>
      </c>
      <c r="I309" s="2">
        <f t="shared" ca="1" si="55"/>
        <v>24</v>
      </c>
      <c r="J309" s="2">
        <f t="shared" ca="1" si="56"/>
        <v>9216</v>
      </c>
      <c r="K309" s="2">
        <f t="shared" ca="1" si="57"/>
        <v>1105.92</v>
      </c>
      <c r="L309" s="2">
        <f t="shared" ca="1" si="58"/>
        <v>49197</v>
      </c>
      <c r="M309" s="2" t="str">
        <f t="shared" ca="1" si="59"/>
        <v>No</v>
      </c>
    </row>
    <row r="310" spans="1:13" x14ac:dyDescent="0.25">
      <c r="A310" s="2" t="str">
        <f t="shared" si="48"/>
        <v>E309</v>
      </c>
      <c r="B310" s="2" t="s">
        <v>296</v>
      </c>
      <c r="C310" s="2" t="str">
        <f t="shared" ca="1" si="49"/>
        <v>Jun</v>
      </c>
      <c r="D310" s="2" t="str">
        <f t="shared" ca="1" si="50"/>
        <v>West</v>
      </c>
      <c r="E310" s="2" t="str">
        <f t="shared" ca="1" si="51"/>
        <v>Madhya Pradesh</v>
      </c>
      <c r="F310" s="2" t="str">
        <f t="shared" ca="1" si="52"/>
        <v>Sales</v>
      </c>
      <c r="G310" s="2" t="str">
        <f t="shared" ca="1" si="53"/>
        <v>Analyst</v>
      </c>
      <c r="H310" s="2" t="str">
        <f t="shared" ca="1" si="54"/>
        <v>Shoes</v>
      </c>
      <c r="I310" s="2">
        <f t="shared" ca="1" si="55"/>
        <v>59</v>
      </c>
      <c r="J310" s="2">
        <f t="shared" ca="1" si="56"/>
        <v>22361</v>
      </c>
      <c r="K310" s="2">
        <f t="shared" ca="1" si="57"/>
        <v>223.61</v>
      </c>
      <c r="L310" s="2">
        <f t="shared" ca="1" si="58"/>
        <v>29291</v>
      </c>
      <c r="M310" s="2" t="str">
        <f t="shared" ca="1" si="59"/>
        <v>No</v>
      </c>
    </row>
    <row r="311" spans="1:13" x14ac:dyDescent="0.25">
      <c r="A311" s="2" t="str">
        <f t="shared" si="48"/>
        <v>E310</v>
      </c>
      <c r="B311" s="2" t="s">
        <v>297</v>
      </c>
      <c r="C311" s="2" t="str">
        <f t="shared" ca="1" si="49"/>
        <v>Oct</v>
      </c>
      <c r="D311" s="2" t="str">
        <f t="shared" ca="1" si="50"/>
        <v>South</v>
      </c>
      <c r="E311" s="2" t="str">
        <f t="shared" ca="1" si="51"/>
        <v>Gujarat</v>
      </c>
      <c r="F311" s="2" t="str">
        <f t="shared" ca="1" si="52"/>
        <v>Sales</v>
      </c>
      <c r="G311" s="2" t="str">
        <f t="shared" ca="1" si="53"/>
        <v>Executive</v>
      </c>
      <c r="H311" s="2" t="str">
        <f t="shared" ca="1" si="54"/>
        <v>Books</v>
      </c>
      <c r="I311" s="2">
        <f t="shared" ca="1" si="55"/>
        <v>84</v>
      </c>
      <c r="J311" s="2">
        <f t="shared" ca="1" si="56"/>
        <v>38052</v>
      </c>
      <c r="K311" s="2">
        <f t="shared" ca="1" si="57"/>
        <v>6849.36</v>
      </c>
      <c r="L311" s="2">
        <f t="shared" ca="1" si="58"/>
        <v>30831</v>
      </c>
      <c r="M311" s="2" t="str">
        <f t="shared" ca="1" si="59"/>
        <v>Yes</v>
      </c>
    </row>
    <row r="312" spans="1:13" x14ac:dyDescent="0.25">
      <c r="A312" s="2" t="str">
        <f t="shared" si="48"/>
        <v>E311</v>
      </c>
      <c r="B312" s="2" t="s">
        <v>298</v>
      </c>
      <c r="C312" s="2" t="str">
        <f t="shared" ca="1" si="49"/>
        <v>Dec</v>
      </c>
      <c r="D312" s="2" t="str">
        <f t="shared" ca="1" si="50"/>
        <v>East</v>
      </c>
      <c r="E312" s="2" t="str">
        <f t="shared" ca="1" si="51"/>
        <v>Gujarat</v>
      </c>
      <c r="F312" s="2" t="str">
        <f t="shared" ca="1" si="52"/>
        <v>Sales</v>
      </c>
      <c r="G312" s="2" t="str">
        <f t="shared" ca="1" si="53"/>
        <v>Analyst</v>
      </c>
      <c r="H312" s="2" t="str">
        <f t="shared" ca="1" si="54"/>
        <v>Shoes</v>
      </c>
      <c r="I312" s="2">
        <f t="shared" ca="1" si="55"/>
        <v>92</v>
      </c>
      <c r="J312" s="2">
        <f t="shared" ca="1" si="56"/>
        <v>19136</v>
      </c>
      <c r="K312" s="2">
        <f t="shared" ca="1" si="57"/>
        <v>-574.08000000000004</v>
      </c>
      <c r="L312" s="2">
        <f t="shared" ca="1" si="58"/>
        <v>13501</v>
      </c>
      <c r="M312" s="2" t="str">
        <f t="shared" ca="1" si="59"/>
        <v>Yes</v>
      </c>
    </row>
    <row r="313" spans="1:13" x14ac:dyDescent="0.25">
      <c r="A313" s="2" t="str">
        <f t="shared" si="48"/>
        <v>E312</v>
      </c>
      <c r="B313" s="2" t="s">
        <v>299</v>
      </c>
      <c r="C313" s="2" t="str">
        <f t="shared" ca="1" si="49"/>
        <v>May</v>
      </c>
      <c r="D313" s="2" t="str">
        <f t="shared" ca="1" si="50"/>
        <v>North</v>
      </c>
      <c r="E313" s="2" t="str">
        <f t="shared" ca="1" si="51"/>
        <v>Delhi</v>
      </c>
      <c r="F313" s="2" t="str">
        <f t="shared" ca="1" si="52"/>
        <v>Customer Support</v>
      </c>
      <c r="G313" s="2" t="str">
        <f t="shared" ca="1" si="53"/>
        <v>Supervisor</v>
      </c>
      <c r="H313" s="2" t="str">
        <f t="shared" ca="1" si="54"/>
        <v>Electronics</v>
      </c>
      <c r="I313" s="2">
        <f t="shared" ca="1" si="55"/>
        <v>14</v>
      </c>
      <c r="J313" s="2">
        <f t="shared" ca="1" si="56"/>
        <v>10570</v>
      </c>
      <c r="K313" s="2">
        <f t="shared" ca="1" si="57"/>
        <v>-739.9</v>
      </c>
      <c r="L313" s="2">
        <f t="shared" ca="1" si="58"/>
        <v>14935</v>
      </c>
      <c r="M313" s="2" t="str">
        <f t="shared" ca="1" si="59"/>
        <v>No</v>
      </c>
    </row>
    <row r="314" spans="1:13" x14ac:dyDescent="0.25">
      <c r="A314" s="2" t="str">
        <f t="shared" si="48"/>
        <v>E313</v>
      </c>
      <c r="B314" s="2" t="s">
        <v>300</v>
      </c>
      <c r="C314" s="2" t="str">
        <f t="shared" ca="1" si="49"/>
        <v>Jan</v>
      </c>
      <c r="D314" s="2" t="str">
        <f t="shared" ca="1" si="50"/>
        <v>North</v>
      </c>
      <c r="E314" s="2" t="str">
        <f t="shared" ca="1" si="51"/>
        <v>Punjab</v>
      </c>
      <c r="F314" s="2" t="str">
        <f t="shared" ca="1" si="52"/>
        <v>Finance</v>
      </c>
      <c r="G314" s="2" t="str">
        <f t="shared" ca="1" si="53"/>
        <v>Supervisor</v>
      </c>
      <c r="H314" s="2" t="str">
        <f t="shared" ca="1" si="54"/>
        <v>Clothing</v>
      </c>
      <c r="I314" s="2">
        <f t="shared" ca="1" si="55"/>
        <v>34</v>
      </c>
      <c r="J314" s="2">
        <f t="shared" ca="1" si="56"/>
        <v>7038</v>
      </c>
      <c r="K314" s="2">
        <f t="shared" ca="1" si="57"/>
        <v>1407.6</v>
      </c>
      <c r="L314" s="2">
        <f t="shared" ca="1" si="58"/>
        <v>25546</v>
      </c>
      <c r="M314" s="2" t="str">
        <f t="shared" ca="1" si="59"/>
        <v>No</v>
      </c>
    </row>
    <row r="315" spans="1:13" x14ac:dyDescent="0.25">
      <c r="A315" s="2" t="str">
        <f t="shared" si="48"/>
        <v>E314</v>
      </c>
      <c r="B315" s="2" t="s">
        <v>301</v>
      </c>
      <c r="C315" s="2" t="str">
        <f t="shared" ca="1" si="49"/>
        <v>Apr</v>
      </c>
      <c r="D315" s="2" t="str">
        <f t="shared" ca="1" si="50"/>
        <v>West</v>
      </c>
      <c r="E315" s="2" t="str">
        <f t="shared" ca="1" si="51"/>
        <v>Delhi</v>
      </c>
      <c r="F315" s="2" t="str">
        <f t="shared" ca="1" si="52"/>
        <v>Sales</v>
      </c>
      <c r="G315" s="2" t="str">
        <f t="shared" ca="1" si="53"/>
        <v>Specialist</v>
      </c>
      <c r="H315" s="2" t="str">
        <f t="shared" ca="1" si="54"/>
        <v>Clothing</v>
      </c>
      <c r="I315" s="2">
        <f t="shared" ca="1" si="55"/>
        <v>69</v>
      </c>
      <c r="J315" s="2">
        <f t="shared" ca="1" si="56"/>
        <v>25116</v>
      </c>
      <c r="K315" s="2">
        <f t="shared" ca="1" si="57"/>
        <v>5525.52</v>
      </c>
      <c r="L315" s="2">
        <f t="shared" ca="1" si="58"/>
        <v>10364</v>
      </c>
      <c r="M315" s="2" t="str">
        <f t="shared" ca="1" si="59"/>
        <v>Yes</v>
      </c>
    </row>
    <row r="316" spans="1:13" x14ac:dyDescent="0.25">
      <c r="A316" s="2" t="str">
        <f t="shared" si="48"/>
        <v>E315</v>
      </c>
      <c r="B316" s="2" t="s">
        <v>302</v>
      </c>
      <c r="C316" s="2" t="str">
        <f t="shared" ca="1" si="49"/>
        <v>Dec</v>
      </c>
      <c r="D316" s="2" t="str">
        <f t="shared" ca="1" si="50"/>
        <v>North</v>
      </c>
      <c r="E316" s="2" t="str">
        <f t="shared" ca="1" si="51"/>
        <v>West Bengal</v>
      </c>
      <c r="F316" s="2" t="str">
        <f t="shared" ca="1" si="52"/>
        <v>HR</v>
      </c>
      <c r="G316" s="2" t="str">
        <f t="shared" ca="1" si="53"/>
        <v>Specialist</v>
      </c>
      <c r="H316" s="2" t="str">
        <f t="shared" ca="1" si="54"/>
        <v>Electronics</v>
      </c>
      <c r="I316" s="2">
        <f t="shared" ca="1" si="55"/>
        <v>80</v>
      </c>
      <c r="J316" s="2">
        <f t="shared" ca="1" si="56"/>
        <v>43360</v>
      </c>
      <c r="K316" s="2">
        <f t="shared" ca="1" si="57"/>
        <v>8672</v>
      </c>
      <c r="L316" s="2">
        <f t="shared" ca="1" si="58"/>
        <v>42748</v>
      </c>
      <c r="M316" s="2" t="str">
        <f t="shared" ca="1" si="59"/>
        <v>Yes</v>
      </c>
    </row>
    <row r="317" spans="1:13" x14ac:dyDescent="0.25">
      <c r="A317" s="2" t="str">
        <f t="shared" si="48"/>
        <v>E316</v>
      </c>
      <c r="B317" s="2" t="s">
        <v>303</v>
      </c>
      <c r="C317" s="2" t="str">
        <f t="shared" ca="1" si="49"/>
        <v>Aug</v>
      </c>
      <c r="D317" s="2" t="str">
        <f t="shared" ca="1" si="50"/>
        <v>North</v>
      </c>
      <c r="E317" s="2" t="str">
        <f t="shared" ca="1" si="51"/>
        <v>Delhi</v>
      </c>
      <c r="F317" s="2" t="str">
        <f t="shared" ca="1" si="52"/>
        <v>Finance</v>
      </c>
      <c r="G317" s="2" t="str">
        <f t="shared" ca="1" si="53"/>
        <v>Executive</v>
      </c>
      <c r="H317" s="2" t="str">
        <f t="shared" ca="1" si="54"/>
        <v>Electronics</v>
      </c>
      <c r="I317" s="2">
        <f t="shared" ca="1" si="55"/>
        <v>76</v>
      </c>
      <c r="J317" s="2">
        <f t="shared" ca="1" si="56"/>
        <v>44384</v>
      </c>
      <c r="K317" s="2">
        <f t="shared" ca="1" si="57"/>
        <v>11539.84</v>
      </c>
      <c r="L317" s="2">
        <f t="shared" ca="1" si="58"/>
        <v>45429</v>
      </c>
      <c r="M317" s="2" t="str">
        <f t="shared" ca="1" si="59"/>
        <v>No</v>
      </c>
    </row>
    <row r="318" spans="1:13" x14ac:dyDescent="0.25">
      <c r="A318" s="2" t="str">
        <f t="shared" si="48"/>
        <v>E317</v>
      </c>
      <c r="B318" s="2" t="s">
        <v>304</v>
      </c>
      <c r="C318" s="2" t="str">
        <f t="shared" ca="1" si="49"/>
        <v>Jan</v>
      </c>
      <c r="D318" s="2" t="str">
        <f t="shared" ca="1" si="50"/>
        <v>West</v>
      </c>
      <c r="E318" s="2" t="str">
        <f t="shared" ca="1" si="51"/>
        <v>West Bengal</v>
      </c>
      <c r="F318" s="2" t="str">
        <f t="shared" ca="1" si="52"/>
        <v>Operations</v>
      </c>
      <c r="G318" s="2" t="str">
        <f t="shared" ca="1" si="53"/>
        <v>Specialist</v>
      </c>
      <c r="H318" s="2" t="str">
        <f t="shared" ca="1" si="54"/>
        <v>Shoes</v>
      </c>
      <c r="I318" s="2">
        <f t="shared" ca="1" si="55"/>
        <v>79</v>
      </c>
      <c r="J318" s="2">
        <f t="shared" ca="1" si="56"/>
        <v>63279</v>
      </c>
      <c r="K318" s="2">
        <f t="shared" ca="1" si="57"/>
        <v>7593.48</v>
      </c>
      <c r="L318" s="2">
        <f t="shared" ca="1" si="58"/>
        <v>10829</v>
      </c>
      <c r="M318" s="2" t="str">
        <f t="shared" ca="1" si="59"/>
        <v>Yes</v>
      </c>
    </row>
    <row r="319" spans="1:13" x14ac:dyDescent="0.25">
      <c r="A319" s="2" t="str">
        <f t="shared" si="48"/>
        <v>E318</v>
      </c>
      <c r="B319" s="2" t="s">
        <v>305</v>
      </c>
      <c r="C319" s="2" t="str">
        <f t="shared" ca="1" si="49"/>
        <v>Oct</v>
      </c>
      <c r="D319" s="2" t="str">
        <f t="shared" ca="1" si="50"/>
        <v>West</v>
      </c>
      <c r="E319" s="2" t="str">
        <f t="shared" ca="1" si="51"/>
        <v>West Bengal</v>
      </c>
      <c r="F319" s="2" t="str">
        <f t="shared" ca="1" si="52"/>
        <v>Customer Support</v>
      </c>
      <c r="G319" s="2" t="str">
        <f t="shared" ca="1" si="53"/>
        <v>Analyst</v>
      </c>
      <c r="H319" s="2" t="str">
        <f t="shared" ca="1" si="54"/>
        <v>Clothing</v>
      </c>
      <c r="I319" s="2">
        <f t="shared" ca="1" si="55"/>
        <v>26</v>
      </c>
      <c r="J319" s="2">
        <f t="shared" ca="1" si="56"/>
        <v>23998</v>
      </c>
      <c r="K319" s="2">
        <f t="shared" ca="1" si="57"/>
        <v>-1919.84</v>
      </c>
      <c r="L319" s="2">
        <f t="shared" ca="1" si="58"/>
        <v>44878</v>
      </c>
      <c r="M319" s="2" t="str">
        <f t="shared" ca="1" si="59"/>
        <v>No</v>
      </c>
    </row>
    <row r="320" spans="1:13" x14ac:dyDescent="0.25">
      <c r="A320" s="2" t="str">
        <f t="shared" si="48"/>
        <v>E319</v>
      </c>
      <c r="B320" s="2" t="s">
        <v>306</v>
      </c>
      <c r="C320" s="2" t="str">
        <f t="shared" ca="1" si="49"/>
        <v>Apr</v>
      </c>
      <c r="D320" s="2" t="str">
        <f t="shared" ca="1" si="50"/>
        <v>North</v>
      </c>
      <c r="E320" s="2" t="str">
        <f t="shared" ca="1" si="51"/>
        <v>Madhya Pradesh</v>
      </c>
      <c r="F320" s="2" t="str">
        <f t="shared" ca="1" si="52"/>
        <v>HR</v>
      </c>
      <c r="G320" s="2" t="str">
        <f t="shared" ca="1" si="53"/>
        <v>Supervisor</v>
      </c>
      <c r="H320" s="2" t="str">
        <f t="shared" ca="1" si="54"/>
        <v>Electronics</v>
      </c>
      <c r="I320" s="2">
        <f t="shared" ca="1" si="55"/>
        <v>40</v>
      </c>
      <c r="J320" s="2">
        <f t="shared" ca="1" si="56"/>
        <v>25400</v>
      </c>
      <c r="K320" s="2">
        <f t="shared" ca="1" si="57"/>
        <v>-508</v>
      </c>
      <c r="L320" s="2">
        <f t="shared" ca="1" si="58"/>
        <v>47730</v>
      </c>
      <c r="M320" s="2" t="str">
        <f t="shared" ca="1" si="59"/>
        <v>No</v>
      </c>
    </row>
    <row r="321" spans="1:13" x14ac:dyDescent="0.25">
      <c r="A321" s="2" t="str">
        <f t="shared" si="48"/>
        <v>E320</v>
      </c>
      <c r="B321" s="2" t="s">
        <v>307</v>
      </c>
      <c r="C321" s="2" t="str">
        <f t="shared" ca="1" si="49"/>
        <v>Jun</v>
      </c>
      <c r="D321" s="2" t="str">
        <f t="shared" ca="1" si="50"/>
        <v>East</v>
      </c>
      <c r="E321" s="2" t="str">
        <f t="shared" ca="1" si="51"/>
        <v>Madhya Pradesh</v>
      </c>
      <c r="F321" s="2" t="str">
        <f t="shared" ca="1" si="52"/>
        <v>Sales</v>
      </c>
      <c r="G321" s="2" t="str">
        <f t="shared" ca="1" si="53"/>
        <v>Executive</v>
      </c>
      <c r="H321" s="2" t="str">
        <f t="shared" ca="1" si="54"/>
        <v>Electronics</v>
      </c>
      <c r="I321" s="2">
        <f t="shared" ca="1" si="55"/>
        <v>36</v>
      </c>
      <c r="J321" s="2">
        <f t="shared" ca="1" si="56"/>
        <v>14220</v>
      </c>
      <c r="K321" s="2">
        <f t="shared" ca="1" si="57"/>
        <v>1137.5999999999999</v>
      </c>
      <c r="L321" s="2">
        <f t="shared" ca="1" si="58"/>
        <v>18472</v>
      </c>
      <c r="M321" s="2" t="str">
        <f t="shared" ca="1" si="59"/>
        <v>No</v>
      </c>
    </row>
    <row r="322" spans="1:13" x14ac:dyDescent="0.25">
      <c r="A322" s="2" t="str">
        <f t="shared" si="48"/>
        <v>E321</v>
      </c>
      <c r="B322" s="2" t="s">
        <v>308</v>
      </c>
      <c r="C322" s="2" t="str">
        <f t="shared" ca="1" si="49"/>
        <v>Oct</v>
      </c>
      <c r="D322" s="2" t="str">
        <f t="shared" ca="1" si="50"/>
        <v>South</v>
      </c>
      <c r="E322" s="2" t="str">
        <f t="shared" ca="1" si="51"/>
        <v>Gujarat</v>
      </c>
      <c r="F322" s="2" t="str">
        <f t="shared" ca="1" si="52"/>
        <v>HR</v>
      </c>
      <c r="G322" s="2" t="str">
        <f t="shared" ca="1" si="53"/>
        <v>Analyst</v>
      </c>
      <c r="H322" s="2" t="str">
        <f t="shared" ca="1" si="54"/>
        <v>Books</v>
      </c>
      <c r="I322" s="2">
        <f t="shared" ca="1" si="55"/>
        <v>42</v>
      </c>
      <c r="J322" s="2">
        <f t="shared" ca="1" si="56"/>
        <v>35616</v>
      </c>
      <c r="K322" s="2">
        <f t="shared" ca="1" si="57"/>
        <v>-2849.28</v>
      </c>
      <c r="L322" s="2">
        <f t="shared" ca="1" si="58"/>
        <v>11545</v>
      </c>
      <c r="M322" s="2" t="str">
        <f t="shared" ca="1" si="59"/>
        <v>Yes</v>
      </c>
    </row>
    <row r="323" spans="1:13" x14ac:dyDescent="0.25">
      <c r="A323" s="2" t="str">
        <f t="shared" ref="A323:A386" si="60">"E"&amp;TEXT(ROW(A322),"000")</f>
        <v>E322</v>
      </c>
      <c r="B323" s="2" t="s">
        <v>26</v>
      </c>
      <c r="C323" s="2" t="str">
        <f t="shared" ref="C323:C386" ca="1" si="61">CHOOSE(RANDBETWEEN(1,12),"Jan","Feb","Mar","Apr","May","Jun","Jul","Aug","Sep","Oct","Nov","Dec")</f>
        <v>Jan</v>
      </c>
      <c r="D323" s="2" t="str">
        <f t="shared" ref="D323:D386" ca="1" si="62">CHOOSE(RANDBETWEEN(1,4),"North","South","East","West")</f>
        <v>South</v>
      </c>
      <c r="E323" s="2" t="str">
        <f t="shared" ref="E323:E386" ca="1" si="63">CHOOSE(RANDBETWEEN(1,6),"Punjab","Gujarat","Tamil Nadu","Madhya Pradesh","Delhi","West Bengal")</f>
        <v>Tamil Nadu</v>
      </c>
      <c r="F323" s="2" t="str">
        <f t="shared" ref="F323:F386" ca="1" si="64">CHOOSE(RANDBETWEEN(1,6),"Sales","Marketing","Finance","Operations","HR","Customer Support")</f>
        <v>Finance</v>
      </c>
      <c r="G323" s="2" t="str">
        <f t="shared" ref="G323:G386" ca="1" si="65">CHOOSE(RANDBETWEEN(1,4),"Analyst","Executive","Supervisor","Specialist")</f>
        <v>Specialist</v>
      </c>
      <c r="H323" s="2" t="str">
        <f t="shared" ref="H323:H386" ca="1" si="66">CHOOSE(RANDBETWEEN(1,4),"Clothing","Shoes","Electronics","Books")</f>
        <v>Clothing</v>
      </c>
      <c r="I323" s="2">
        <f t="shared" ref="I323:I386" ca="1" si="67">RANDBETWEEN(5,100)</f>
        <v>69</v>
      </c>
      <c r="J323" s="2">
        <f t="shared" ref="J323:J386" ca="1" si="68">I323*RANDBETWEEN(200,1000)</f>
        <v>43746</v>
      </c>
      <c r="K323" s="2">
        <f t="shared" ref="K323:K386" ca="1" si="69">J323*RANDBETWEEN(-10,30)/100</f>
        <v>10499.04</v>
      </c>
      <c r="L323" s="2">
        <f t="shared" ref="L323:L386" ca="1" si="70">RANDBETWEEN(10000,50000)</f>
        <v>37017</v>
      </c>
      <c r="M323" s="2" t="str">
        <f t="shared" ref="M323:M386" ca="1" si="71">IF(J323&gt;=L323,"Yes","No")</f>
        <v>Yes</v>
      </c>
    </row>
    <row r="324" spans="1:13" x14ac:dyDescent="0.25">
      <c r="A324" s="2" t="str">
        <f t="shared" si="60"/>
        <v>E323</v>
      </c>
      <c r="B324" s="2" t="s">
        <v>1</v>
      </c>
      <c r="C324" s="2" t="str">
        <f t="shared" ca="1" si="61"/>
        <v>Sep</v>
      </c>
      <c r="D324" s="2" t="str">
        <f t="shared" ca="1" si="62"/>
        <v>South</v>
      </c>
      <c r="E324" s="2" t="str">
        <f t="shared" ca="1" si="63"/>
        <v>Gujarat</v>
      </c>
      <c r="F324" s="2" t="str">
        <f t="shared" ca="1" si="64"/>
        <v>Operations</v>
      </c>
      <c r="G324" s="2" t="str">
        <f t="shared" ca="1" si="65"/>
        <v>Analyst</v>
      </c>
      <c r="H324" s="2" t="str">
        <f t="shared" ca="1" si="66"/>
        <v>Shoes</v>
      </c>
      <c r="I324" s="2">
        <f t="shared" ca="1" si="67"/>
        <v>43</v>
      </c>
      <c r="J324" s="2">
        <f t="shared" ca="1" si="68"/>
        <v>38141</v>
      </c>
      <c r="K324" s="2">
        <f t="shared" ca="1" si="69"/>
        <v>5339.74</v>
      </c>
      <c r="L324" s="2">
        <f t="shared" ca="1" si="70"/>
        <v>47441</v>
      </c>
      <c r="M324" s="2" t="str">
        <f t="shared" ca="1" si="71"/>
        <v>No</v>
      </c>
    </row>
    <row r="325" spans="1:13" x14ac:dyDescent="0.25">
      <c r="A325" s="2" t="str">
        <f t="shared" si="60"/>
        <v>E324</v>
      </c>
      <c r="B325" s="2" t="s">
        <v>309</v>
      </c>
      <c r="C325" s="2" t="str">
        <f t="shared" ca="1" si="61"/>
        <v>Jan</v>
      </c>
      <c r="D325" s="2" t="str">
        <f t="shared" ca="1" si="62"/>
        <v>South</v>
      </c>
      <c r="E325" s="2" t="str">
        <f t="shared" ca="1" si="63"/>
        <v>Punjab</v>
      </c>
      <c r="F325" s="2" t="str">
        <f t="shared" ca="1" si="64"/>
        <v>Customer Support</v>
      </c>
      <c r="G325" s="2" t="str">
        <f t="shared" ca="1" si="65"/>
        <v>Analyst</v>
      </c>
      <c r="H325" s="2" t="str">
        <f t="shared" ca="1" si="66"/>
        <v>Electronics</v>
      </c>
      <c r="I325" s="2">
        <f t="shared" ca="1" si="67"/>
        <v>96</v>
      </c>
      <c r="J325" s="2">
        <f t="shared" ca="1" si="68"/>
        <v>43008</v>
      </c>
      <c r="K325" s="2">
        <f t="shared" ca="1" si="69"/>
        <v>2150.4</v>
      </c>
      <c r="L325" s="2">
        <f t="shared" ca="1" si="70"/>
        <v>41543</v>
      </c>
      <c r="M325" s="2" t="str">
        <f t="shared" ca="1" si="71"/>
        <v>Yes</v>
      </c>
    </row>
    <row r="326" spans="1:13" x14ac:dyDescent="0.25">
      <c r="A326" s="2" t="str">
        <f t="shared" si="60"/>
        <v>E325</v>
      </c>
      <c r="B326" s="2" t="s">
        <v>2</v>
      </c>
      <c r="C326" s="2" t="str">
        <f t="shared" ca="1" si="61"/>
        <v>Jul</v>
      </c>
      <c r="D326" s="2" t="str">
        <f t="shared" ca="1" si="62"/>
        <v>South</v>
      </c>
      <c r="E326" s="2" t="str">
        <f t="shared" ca="1" si="63"/>
        <v>Gujarat</v>
      </c>
      <c r="F326" s="2" t="str">
        <f t="shared" ca="1" si="64"/>
        <v>Finance</v>
      </c>
      <c r="G326" s="2" t="str">
        <f t="shared" ca="1" si="65"/>
        <v>Supervisor</v>
      </c>
      <c r="H326" s="2" t="str">
        <f t="shared" ca="1" si="66"/>
        <v>Books</v>
      </c>
      <c r="I326" s="2">
        <f t="shared" ca="1" si="67"/>
        <v>61</v>
      </c>
      <c r="J326" s="2">
        <f t="shared" ca="1" si="68"/>
        <v>25315</v>
      </c>
      <c r="K326" s="2">
        <f t="shared" ca="1" si="69"/>
        <v>-1518.9</v>
      </c>
      <c r="L326" s="2">
        <f t="shared" ca="1" si="70"/>
        <v>15752</v>
      </c>
      <c r="M326" s="2" t="str">
        <f t="shared" ca="1" si="71"/>
        <v>Yes</v>
      </c>
    </row>
    <row r="327" spans="1:13" x14ac:dyDescent="0.25">
      <c r="A327" s="2" t="str">
        <f t="shared" si="60"/>
        <v>E326</v>
      </c>
      <c r="B327" s="2" t="s">
        <v>310</v>
      </c>
      <c r="C327" s="2" t="str">
        <f t="shared" ca="1" si="61"/>
        <v>Nov</v>
      </c>
      <c r="D327" s="2" t="str">
        <f t="shared" ca="1" si="62"/>
        <v>North</v>
      </c>
      <c r="E327" s="2" t="str">
        <f t="shared" ca="1" si="63"/>
        <v>Delhi</v>
      </c>
      <c r="F327" s="2" t="str">
        <f t="shared" ca="1" si="64"/>
        <v>Marketing</v>
      </c>
      <c r="G327" s="2" t="str">
        <f t="shared" ca="1" si="65"/>
        <v>Executive</v>
      </c>
      <c r="H327" s="2" t="str">
        <f t="shared" ca="1" si="66"/>
        <v>Clothing</v>
      </c>
      <c r="I327" s="2">
        <f t="shared" ca="1" si="67"/>
        <v>7</v>
      </c>
      <c r="J327" s="2">
        <f t="shared" ca="1" si="68"/>
        <v>4977</v>
      </c>
      <c r="K327" s="2">
        <f t="shared" ca="1" si="69"/>
        <v>-298.62</v>
      </c>
      <c r="L327" s="2">
        <f t="shared" ca="1" si="70"/>
        <v>14332</v>
      </c>
      <c r="M327" s="2" t="str">
        <f t="shared" ca="1" si="71"/>
        <v>No</v>
      </c>
    </row>
    <row r="328" spans="1:13" x14ac:dyDescent="0.25">
      <c r="A328" s="2" t="str">
        <f t="shared" si="60"/>
        <v>E327</v>
      </c>
      <c r="B328" s="2" t="s">
        <v>311</v>
      </c>
      <c r="C328" s="2" t="str">
        <f t="shared" ca="1" si="61"/>
        <v>Feb</v>
      </c>
      <c r="D328" s="2" t="str">
        <f t="shared" ca="1" si="62"/>
        <v>West</v>
      </c>
      <c r="E328" s="2" t="str">
        <f t="shared" ca="1" si="63"/>
        <v>Punjab</v>
      </c>
      <c r="F328" s="2" t="str">
        <f t="shared" ca="1" si="64"/>
        <v>HR</v>
      </c>
      <c r="G328" s="2" t="str">
        <f t="shared" ca="1" si="65"/>
        <v>Supervisor</v>
      </c>
      <c r="H328" s="2" t="str">
        <f t="shared" ca="1" si="66"/>
        <v>Shoes</v>
      </c>
      <c r="I328" s="2">
        <f t="shared" ca="1" si="67"/>
        <v>21</v>
      </c>
      <c r="J328" s="2">
        <f t="shared" ca="1" si="68"/>
        <v>21000</v>
      </c>
      <c r="K328" s="2">
        <f t="shared" ca="1" si="69"/>
        <v>2310</v>
      </c>
      <c r="L328" s="2">
        <f t="shared" ca="1" si="70"/>
        <v>36202</v>
      </c>
      <c r="M328" s="2" t="str">
        <f t="shared" ca="1" si="71"/>
        <v>No</v>
      </c>
    </row>
    <row r="329" spans="1:13" x14ac:dyDescent="0.25">
      <c r="A329" s="2" t="str">
        <f t="shared" si="60"/>
        <v>E328</v>
      </c>
      <c r="B329" s="2" t="s">
        <v>0</v>
      </c>
      <c r="C329" s="2" t="str">
        <f t="shared" ca="1" si="61"/>
        <v>Jun</v>
      </c>
      <c r="D329" s="2" t="str">
        <f t="shared" ca="1" si="62"/>
        <v>North</v>
      </c>
      <c r="E329" s="2" t="str">
        <f t="shared" ca="1" si="63"/>
        <v>West Bengal</v>
      </c>
      <c r="F329" s="2" t="str">
        <f t="shared" ca="1" si="64"/>
        <v>Operations</v>
      </c>
      <c r="G329" s="2" t="str">
        <f t="shared" ca="1" si="65"/>
        <v>Supervisor</v>
      </c>
      <c r="H329" s="2" t="str">
        <f t="shared" ca="1" si="66"/>
        <v>Shoes</v>
      </c>
      <c r="I329" s="2">
        <f t="shared" ca="1" si="67"/>
        <v>72</v>
      </c>
      <c r="J329" s="2">
        <f t="shared" ca="1" si="68"/>
        <v>62712</v>
      </c>
      <c r="K329" s="2">
        <f t="shared" ca="1" si="69"/>
        <v>-3135.6</v>
      </c>
      <c r="L329" s="2">
        <f t="shared" ca="1" si="70"/>
        <v>27807</v>
      </c>
      <c r="M329" s="2" t="str">
        <f t="shared" ca="1" si="71"/>
        <v>Yes</v>
      </c>
    </row>
    <row r="330" spans="1:13" x14ac:dyDescent="0.25">
      <c r="A330" s="2" t="str">
        <f t="shared" si="60"/>
        <v>E329</v>
      </c>
      <c r="B330" s="2" t="s">
        <v>26</v>
      </c>
      <c r="C330" s="2" t="str">
        <f t="shared" ca="1" si="61"/>
        <v>Jul</v>
      </c>
      <c r="D330" s="2" t="str">
        <f t="shared" ca="1" si="62"/>
        <v>North</v>
      </c>
      <c r="E330" s="2" t="str">
        <f t="shared" ca="1" si="63"/>
        <v>West Bengal</v>
      </c>
      <c r="F330" s="2" t="str">
        <f t="shared" ca="1" si="64"/>
        <v>Sales</v>
      </c>
      <c r="G330" s="2" t="str">
        <f t="shared" ca="1" si="65"/>
        <v>Executive</v>
      </c>
      <c r="H330" s="2" t="str">
        <f t="shared" ca="1" si="66"/>
        <v>Clothing</v>
      </c>
      <c r="I330" s="2">
        <f t="shared" ca="1" si="67"/>
        <v>93</v>
      </c>
      <c r="J330" s="2">
        <f t="shared" ca="1" si="68"/>
        <v>67239</v>
      </c>
      <c r="K330" s="2">
        <f t="shared" ca="1" si="69"/>
        <v>-5379.12</v>
      </c>
      <c r="L330" s="2">
        <f t="shared" ca="1" si="70"/>
        <v>21787</v>
      </c>
      <c r="M330" s="2" t="str">
        <f t="shared" ca="1" si="71"/>
        <v>Yes</v>
      </c>
    </row>
    <row r="331" spans="1:13" x14ac:dyDescent="0.25">
      <c r="A331" s="2" t="str">
        <f t="shared" si="60"/>
        <v>E330</v>
      </c>
      <c r="B331" s="2" t="s">
        <v>13</v>
      </c>
      <c r="C331" s="2" t="str">
        <f t="shared" ca="1" si="61"/>
        <v>May</v>
      </c>
      <c r="D331" s="2" t="str">
        <f t="shared" ca="1" si="62"/>
        <v>North</v>
      </c>
      <c r="E331" s="2" t="str">
        <f t="shared" ca="1" si="63"/>
        <v>Tamil Nadu</v>
      </c>
      <c r="F331" s="2" t="str">
        <f t="shared" ca="1" si="64"/>
        <v>Marketing</v>
      </c>
      <c r="G331" s="2" t="str">
        <f t="shared" ca="1" si="65"/>
        <v>Specialist</v>
      </c>
      <c r="H331" s="2" t="str">
        <f t="shared" ca="1" si="66"/>
        <v>Books</v>
      </c>
      <c r="I331" s="2">
        <f t="shared" ca="1" si="67"/>
        <v>50</v>
      </c>
      <c r="J331" s="2">
        <f t="shared" ca="1" si="68"/>
        <v>45050</v>
      </c>
      <c r="K331" s="2">
        <f t="shared" ca="1" si="69"/>
        <v>9010</v>
      </c>
      <c r="L331" s="2">
        <f t="shared" ca="1" si="70"/>
        <v>28393</v>
      </c>
      <c r="M331" s="2" t="str">
        <f t="shared" ca="1" si="71"/>
        <v>Yes</v>
      </c>
    </row>
    <row r="332" spans="1:13" x14ac:dyDescent="0.25">
      <c r="A332" s="2" t="str">
        <f t="shared" si="60"/>
        <v>E331</v>
      </c>
      <c r="B332" s="2" t="s">
        <v>312</v>
      </c>
      <c r="C332" s="2" t="str">
        <f t="shared" ca="1" si="61"/>
        <v>Jun</v>
      </c>
      <c r="D332" s="2" t="str">
        <f t="shared" ca="1" si="62"/>
        <v>North</v>
      </c>
      <c r="E332" s="2" t="str">
        <f t="shared" ca="1" si="63"/>
        <v>Punjab</v>
      </c>
      <c r="F332" s="2" t="str">
        <f t="shared" ca="1" si="64"/>
        <v>HR</v>
      </c>
      <c r="G332" s="2" t="str">
        <f t="shared" ca="1" si="65"/>
        <v>Executive</v>
      </c>
      <c r="H332" s="2" t="str">
        <f t="shared" ca="1" si="66"/>
        <v>Shoes</v>
      </c>
      <c r="I332" s="2">
        <f t="shared" ca="1" si="67"/>
        <v>91</v>
      </c>
      <c r="J332" s="2">
        <f t="shared" ca="1" si="68"/>
        <v>46956</v>
      </c>
      <c r="K332" s="2">
        <f t="shared" ca="1" si="69"/>
        <v>-3286.92</v>
      </c>
      <c r="L332" s="2">
        <f t="shared" ca="1" si="70"/>
        <v>19919</v>
      </c>
      <c r="M332" s="2" t="str">
        <f t="shared" ca="1" si="71"/>
        <v>Yes</v>
      </c>
    </row>
    <row r="333" spans="1:13" x14ac:dyDescent="0.25">
      <c r="A333" s="2" t="str">
        <f t="shared" si="60"/>
        <v>E332</v>
      </c>
      <c r="B333" s="2" t="s">
        <v>313</v>
      </c>
      <c r="C333" s="2" t="str">
        <f t="shared" ca="1" si="61"/>
        <v>Nov</v>
      </c>
      <c r="D333" s="2" t="str">
        <f t="shared" ca="1" si="62"/>
        <v>West</v>
      </c>
      <c r="E333" s="2" t="str">
        <f t="shared" ca="1" si="63"/>
        <v>Punjab</v>
      </c>
      <c r="F333" s="2" t="str">
        <f t="shared" ca="1" si="64"/>
        <v>Marketing</v>
      </c>
      <c r="G333" s="2" t="str">
        <f t="shared" ca="1" si="65"/>
        <v>Supervisor</v>
      </c>
      <c r="H333" s="2" t="str">
        <f t="shared" ca="1" si="66"/>
        <v>Electronics</v>
      </c>
      <c r="I333" s="2">
        <f t="shared" ca="1" si="67"/>
        <v>49</v>
      </c>
      <c r="J333" s="2">
        <f t="shared" ca="1" si="68"/>
        <v>36946</v>
      </c>
      <c r="K333" s="2">
        <f t="shared" ca="1" si="69"/>
        <v>11083.8</v>
      </c>
      <c r="L333" s="2">
        <f t="shared" ca="1" si="70"/>
        <v>43733</v>
      </c>
      <c r="M333" s="2" t="str">
        <f t="shared" ca="1" si="71"/>
        <v>No</v>
      </c>
    </row>
    <row r="334" spans="1:13" x14ac:dyDescent="0.25">
      <c r="A334" s="2" t="str">
        <f t="shared" si="60"/>
        <v>E333</v>
      </c>
      <c r="B334" s="2" t="s">
        <v>314</v>
      </c>
      <c r="C334" s="2" t="str">
        <f t="shared" ca="1" si="61"/>
        <v>Nov</v>
      </c>
      <c r="D334" s="2" t="str">
        <f t="shared" ca="1" si="62"/>
        <v>East</v>
      </c>
      <c r="E334" s="2" t="str">
        <f t="shared" ca="1" si="63"/>
        <v>Tamil Nadu</v>
      </c>
      <c r="F334" s="2" t="str">
        <f t="shared" ca="1" si="64"/>
        <v>Customer Support</v>
      </c>
      <c r="G334" s="2" t="str">
        <f t="shared" ca="1" si="65"/>
        <v>Analyst</v>
      </c>
      <c r="H334" s="2" t="str">
        <f t="shared" ca="1" si="66"/>
        <v>Shoes</v>
      </c>
      <c r="I334" s="2">
        <f t="shared" ca="1" si="67"/>
        <v>52</v>
      </c>
      <c r="J334" s="2">
        <f t="shared" ca="1" si="68"/>
        <v>39208</v>
      </c>
      <c r="K334" s="2">
        <f t="shared" ca="1" si="69"/>
        <v>-784.16</v>
      </c>
      <c r="L334" s="2">
        <f t="shared" ca="1" si="70"/>
        <v>43157</v>
      </c>
      <c r="M334" s="2" t="str">
        <f t="shared" ca="1" si="71"/>
        <v>No</v>
      </c>
    </row>
    <row r="335" spans="1:13" x14ac:dyDescent="0.25">
      <c r="A335" s="2" t="str">
        <f t="shared" si="60"/>
        <v>E334</v>
      </c>
      <c r="B335" s="2" t="s">
        <v>315</v>
      </c>
      <c r="C335" s="2" t="str">
        <f t="shared" ca="1" si="61"/>
        <v>Aug</v>
      </c>
      <c r="D335" s="2" t="str">
        <f t="shared" ca="1" si="62"/>
        <v>East</v>
      </c>
      <c r="E335" s="2" t="str">
        <f t="shared" ca="1" si="63"/>
        <v>West Bengal</v>
      </c>
      <c r="F335" s="2" t="str">
        <f t="shared" ca="1" si="64"/>
        <v>Sales</v>
      </c>
      <c r="G335" s="2" t="str">
        <f t="shared" ca="1" si="65"/>
        <v>Executive</v>
      </c>
      <c r="H335" s="2" t="str">
        <f t="shared" ca="1" si="66"/>
        <v>Clothing</v>
      </c>
      <c r="I335" s="2">
        <f t="shared" ca="1" si="67"/>
        <v>28</v>
      </c>
      <c r="J335" s="2">
        <f t="shared" ca="1" si="68"/>
        <v>6440</v>
      </c>
      <c r="K335" s="2">
        <f t="shared" ca="1" si="69"/>
        <v>966</v>
      </c>
      <c r="L335" s="2">
        <f t="shared" ca="1" si="70"/>
        <v>36209</v>
      </c>
      <c r="M335" s="2" t="str">
        <f t="shared" ca="1" si="71"/>
        <v>No</v>
      </c>
    </row>
    <row r="336" spans="1:13" x14ac:dyDescent="0.25">
      <c r="A336" s="2" t="str">
        <f t="shared" si="60"/>
        <v>E335</v>
      </c>
      <c r="B336" s="2" t="s">
        <v>316</v>
      </c>
      <c r="C336" s="2" t="str">
        <f t="shared" ca="1" si="61"/>
        <v>Feb</v>
      </c>
      <c r="D336" s="2" t="str">
        <f t="shared" ca="1" si="62"/>
        <v>East</v>
      </c>
      <c r="E336" s="2" t="str">
        <f t="shared" ca="1" si="63"/>
        <v>Tamil Nadu</v>
      </c>
      <c r="F336" s="2" t="str">
        <f t="shared" ca="1" si="64"/>
        <v>Customer Support</v>
      </c>
      <c r="G336" s="2" t="str">
        <f t="shared" ca="1" si="65"/>
        <v>Analyst</v>
      </c>
      <c r="H336" s="2" t="str">
        <f t="shared" ca="1" si="66"/>
        <v>Shoes</v>
      </c>
      <c r="I336" s="2">
        <f t="shared" ca="1" si="67"/>
        <v>45</v>
      </c>
      <c r="J336" s="2">
        <f t="shared" ca="1" si="68"/>
        <v>37350</v>
      </c>
      <c r="K336" s="2">
        <f t="shared" ca="1" si="69"/>
        <v>5976</v>
      </c>
      <c r="L336" s="2">
        <f t="shared" ca="1" si="70"/>
        <v>47843</v>
      </c>
      <c r="M336" s="2" t="str">
        <f t="shared" ca="1" si="71"/>
        <v>No</v>
      </c>
    </row>
    <row r="337" spans="1:13" x14ac:dyDescent="0.25">
      <c r="A337" s="2" t="str">
        <f t="shared" si="60"/>
        <v>E336</v>
      </c>
      <c r="B337" s="2" t="s">
        <v>317</v>
      </c>
      <c r="C337" s="2" t="str">
        <f t="shared" ca="1" si="61"/>
        <v>Feb</v>
      </c>
      <c r="D337" s="2" t="str">
        <f t="shared" ca="1" si="62"/>
        <v>North</v>
      </c>
      <c r="E337" s="2" t="str">
        <f t="shared" ca="1" si="63"/>
        <v>Gujarat</v>
      </c>
      <c r="F337" s="2" t="str">
        <f t="shared" ca="1" si="64"/>
        <v>Finance</v>
      </c>
      <c r="G337" s="2" t="str">
        <f t="shared" ca="1" si="65"/>
        <v>Specialist</v>
      </c>
      <c r="H337" s="2" t="str">
        <f t="shared" ca="1" si="66"/>
        <v>Electronics</v>
      </c>
      <c r="I337" s="2">
        <f t="shared" ca="1" si="67"/>
        <v>39</v>
      </c>
      <c r="J337" s="2">
        <f t="shared" ca="1" si="68"/>
        <v>15873</v>
      </c>
      <c r="K337" s="2">
        <f t="shared" ca="1" si="69"/>
        <v>476.19</v>
      </c>
      <c r="L337" s="2">
        <f t="shared" ca="1" si="70"/>
        <v>19530</v>
      </c>
      <c r="M337" s="2" t="str">
        <f t="shared" ca="1" si="71"/>
        <v>No</v>
      </c>
    </row>
    <row r="338" spans="1:13" x14ac:dyDescent="0.25">
      <c r="A338" s="2" t="str">
        <f t="shared" si="60"/>
        <v>E337</v>
      </c>
      <c r="B338" s="2" t="s">
        <v>318</v>
      </c>
      <c r="C338" s="2" t="str">
        <f t="shared" ca="1" si="61"/>
        <v>Dec</v>
      </c>
      <c r="D338" s="2" t="str">
        <f t="shared" ca="1" si="62"/>
        <v>East</v>
      </c>
      <c r="E338" s="2" t="str">
        <f t="shared" ca="1" si="63"/>
        <v>Punjab</v>
      </c>
      <c r="F338" s="2" t="str">
        <f t="shared" ca="1" si="64"/>
        <v>Customer Support</v>
      </c>
      <c r="G338" s="2" t="str">
        <f t="shared" ca="1" si="65"/>
        <v>Executive</v>
      </c>
      <c r="H338" s="2" t="str">
        <f t="shared" ca="1" si="66"/>
        <v>Electronics</v>
      </c>
      <c r="I338" s="2">
        <f t="shared" ca="1" si="67"/>
        <v>71</v>
      </c>
      <c r="J338" s="2">
        <f t="shared" ca="1" si="68"/>
        <v>23146</v>
      </c>
      <c r="K338" s="2">
        <f t="shared" ca="1" si="69"/>
        <v>3008.98</v>
      </c>
      <c r="L338" s="2">
        <f t="shared" ca="1" si="70"/>
        <v>48774</v>
      </c>
      <c r="M338" s="2" t="str">
        <f t="shared" ca="1" si="71"/>
        <v>No</v>
      </c>
    </row>
    <row r="339" spans="1:13" x14ac:dyDescent="0.25">
      <c r="A339" s="2" t="str">
        <f t="shared" si="60"/>
        <v>E338</v>
      </c>
      <c r="B339" s="2" t="s">
        <v>133</v>
      </c>
      <c r="C339" s="2" t="str">
        <f t="shared" ca="1" si="61"/>
        <v>May</v>
      </c>
      <c r="D339" s="2" t="str">
        <f t="shared" ca="1" si="62"/>
        <v>North</v>
      </c>
      <c r="E339" s="2" t="str">
        <f t="shared" ca="1" si="63"/>
        <v>Madhya Pradesh</v>
      </c>
      <c r="F339" s="2" t="str">
        <f t="shared" ca="1" si="64"/>
        <v>Sales</v>
      </c>
      <c r="G339" s="2" t="str">
        <f t="shared" ca="1" si="65"/>
        <v>Executive</v>
      </c>
      <c r="H339" s="2" t="str">
        <f t="shared" ca="1" si="66"/>
        <v>Electronics</v>
      </c>
      <c r="I339" s="2">
        <f t="shared" ca="1" si="67"/>
        <v>41</v>
      </c>
      <c r="J339" s="2">
        <f t="shared" ca="1" si="68"/>
        <v>29848</v>
      </c>
      <c r="K339" s="2">
        <f t="shared" ca="1" si="69"/>
        <v>895.44</v>
      </c>
      <c r="L339" s="2">
        <f t="shared" ca="1" si="70"/>
        <v>25080</v>
      </c>
      <c r="M339" s="2" t="str">
        <f t="shared" ca="1" si="71"/>
        <v>Yes</v>
      </c>
    </row>
    <row r="340" spans="1:13" x14ac:dyDescent="0.25">
      <c r="A340" s="2" t="str">
        <f t="shared" si="60"/>
        <v>E339</v>
      </c>
      <c r="B340" s="2" t="s">
        <v>319</v>
      </c>
      <c r="C340" s="2" t="str">
        <f t="shared" ca="1" si="61"/>
        <v>Feb</v>
      </c>
      <c r="D340" s="2" t="str">
        <f t="shared" ca="1" si="62"/>
        <v>West</v>
      </c>
      <c r="E340" s="2" t="str">
        <f t="shared" ca="1" si="63"/>
        <v>Gujarat</v>
      </c>
      <c r="F340" s="2" t="str">
        <f t="shared" ca="1" si="64"/>
        <v>Marketing</v>
      </c>
      <c r="G340" s="2" t="str">
        <f t="shared" ca="1" si="65"/>
        <v>Supervisor</v>
      </c>
      <c r="H340" s="2" t="str">
        <f t="shared" ca="1" si="66"/>
        <v>Shoes</v>
      </c>
      <c r="I340" s="2">
        <f t="shared" ca="1" si="67"/>
        <v>80</v>
      </c>
      <c r="J340" s="2">
        <f t="shared" ca="1" si="68"/>
        <v>49120</v>
      </c>
      <c r="K340" s="2">
        <f t="shared" ca="1" si="69"/>
        <v>8350.4</v>
      </c>
      <c r="L340" s="2">
        <f t="shared" ca="1" si="70"/>
        <v>17656</v>
      </c>
      <c r="M340" s="2" t="str">
        <f t="shared" ca="1" si="71"/>
        <v>Yes</v>
      </c>
    </row>
    <row r="341" spans="1:13" x14ac:dyDescent="0.25">
      <c r="A341" s="2" t="str">
        <f t="shared" si="60"/>
        <v>E340</v>
      </c>
      <c r="B341" s="2" t="s">
        <v>320</v>
      </c>
      <c r="C341" s="2" t="str">
        <f t="shared" ca="1" si="61"/>
        <v>Jun</v>
      </c>
      <c r="D341" s="2" t="str">
        <f t="shared" ca="1" si="62"/>
        <v>East</v>
      </c>
      <c r="E341" s="2" t="str">
        <f t="shared" ca="1" si="63"/>
        <v>Tamil Nadu</v>
      </c>
      <c r="F341" s="2" t="str">
        <f t="shared" ca="1" si="64"/>
        <v>Sales</v>
      </c>
      <c r="G341" s="2" t="str">
        <f t="shared" ca="1" si="65"/>
        <v>Supervisor</v>
      </c>
      <c r="H341" s="2" t="str">
        <f t="shared" ca="1" si="66"/>
        <v>Shoes</v>
      </c>
      <c r="I341" s="2">
        <f t="shared" ca="1" si="67"/>
        <v>9</v>
      </c>
      <c r="J341" s="2">
        <f t="shared" ca="1" si="68"/>
        <v>8640</v>
      </c>
      <c r="K341" s="2">
        <f t="shared" ca="1" si="69"/>
        <v>1987.2</v>
      </c>
      <c r="L341" s="2">
        <f t="shared" ca="1" si="70"/>
        <v>19569</v>
      </c>
      <c r="M341" s="2" t="str">
        <f t="shared" ca="1" si="71"/>
        <v>No</v>
      </c>
    </row>
    <row r="342" spans="1:13" x14ac:dyDescent="0.25">
      <c r="A342" s="2" t="str">
        <f t="shared" si="60"/>
        <v>E341</v>
      </c>
      <c r="B342" s="2" t="s">
        <v>321</v>
      </c>
      <c r="C342" s="2" t="str">
        <f t="shared" ca="1" si="61"/>
        <v>Oct</v>
      </c>
      <c r="D342" s="2" t="str">
        <f t="shared" ca="1" si="62"/>
        <v>East</v>
      </c>
      <c r="E342" s="2" t="str">
        <f t="shared" ca="1" si="63"/>
        <v>Madhya Pradesh</v>
      </c>
      <c r="F342" s="2" t="str">
        <f t="shared" ca="1" si="64"/>
        <v>HR</v>
      </c>
      <c r="G342" s="2" t="str">
        <f t="shared" ca="1" si="65"/>
        <v>Supervisor</v>
      </c>
      <c r="H342" s="2" t="str">
        <f t="shared" ca="1" si="66"/>
        <v>Clothing</v>
      </c>
      <c r="I342" s="2">
        <f t="shared" ca="1" si="67"/>
        <v>64</v>
      </c>
      <c r="J342" s="2">
        <f t="shared" ca="1" si="68"/>
        <v>50560</v>
      </c>
      <c r="K342" s="2">
        <f t="shared" ca="1" si="69"/>
        <v>5561.6</v>
      </c>
      <c r="L342" s="2">
        <f t="shared" ca="1" si="70"/>
        <v>29011</v>
      </c>
      <c r="M342" s="2" t="str">
        <f t="shared" ca="1" si="71"/>
        <v>Yes</v>
      </c>
    </row>
    <row r="343" spans="1:13" x14ac:dyDescent="0.25">
      <c r="A343" s="2" t="str">
        <f t="shared" si="60"/>
        <v>E342</v>
      </c>
      <c r="B343" s="2" t="s">
        <v>308</v>
      </c>
      <c r="C343" s="2" t="str">
        <f t="shared" ca="1" si="61"/>
        <v>Dec</v>
      </c>
      <c r="D343" s="2" t="str">
        <f t="shared" ca="1" si="62"/>
        <v>South</v>
      </c>
      <c r="E343" s="2" t="str">
        <f t="shared" ca="1" si="63"/>
        <v>West Bengal</v>
      </c>
      <c r="F343" s="2" t="str">
        <f t="shared" ca="1" si="64"/>
        <v>HR</v>
      </c>
      <c r="G343" s="2" t="str">
        <f t="shared" ca="1" si="65"/>
        <v>Supervisor</v>
      </c>
      <c r="H343" s="2" t="str">
        <f t="shared" ca="1" si="66"/>
        <v>Shoes</v>
      </c>
      <c r="I343" s="2">
        <f t="shared" ca="1" si="67"/>
        <v>92</v>
      </c>
      <c r="J343" s="2">
        <f t="shared" ca="1" si="68"/>
        <v>72772</v>
      </c>
      <c r="K343" s="2">
        <f t="shared" ca="1" si="69"/>
        <v>2910.88</v>
      </c>
      <c r="L343" s="2">
        <f t="shared" ca="1" si="70"/>
        <v>17754</v>
      </c>
      <c r="M343" s="2" t="str">
        <f t="shared" ca="1" si="71"/>
        <v>Yes</v>
      </c>
    </row>
    <row r="344" spans="1:13" x14ac:dyDescent="0.25">
      <c r="A344" s="2" t="str">
        <f t="shared" si="60"/>
        <v>E343</v>
      </c>
      <c r="B344" s="2" t="s">
        <v>322</v>
      </c>
      <c r="C344" s="2" t="str">
        <f t="shared" ca="1" si="61"/>
        <v>May</v>
      </c>
      <c r="D344" s="2" t="str">
        <f t="shared" ca="1" si="62"/>
        <v>North</v>
      </c>
      <c r="E344" s="2" t="str">
        <f t="shared" ca="1" si="63"/>
        <v>Gujarat</v>
      </c>
      <c r="F344" s="2" t="str">
        <f t="shared" ca="1" si="64"/>
        <v>Marketing</v>
      </c>
      <c r="G344" s="2" t="str">
        <f t="shared" ca="1" si="65"/>
        <v>Executive</v>
      </c>
      <c r="H344" s="2" t="str">
        <f t="shared" ca="1" si="66"/>
        <v>Electronics</v>
      </c>
      <c r="I344" s="2">
        <f t="shared" ca="1" si="67"/>
        <v>44</v>
      </c>
      <c r="J344" s="2">
        <f t="shared" ca="1" si="68"/>
        <v>26708</v>
      </c>
      <c r="K344" s="2">
        <f t="shared" ca="1" si="69"/>
        <v>6944.08</v>
      </c>
      <c r="L344" s="2">
        <f t="shared" ca="1" si="70"/>
        <v>18080</v>
      </c>
      <c r="M344" s="2" t="str">
        <f t="shared" ca="1" si="71"/>
        <v>Yes</v>
      </c>
    </row>
    <row r="345" spans="1:13" x14ac:dyDescent="0.25">
      <c r="A345" s="2" t="str">
        <f t="shared" si="60"/>
        <v>E344</v>
      </c>
      <c r="B345" s="2" t="s">
        <v>19</v>
      </c>
      <c r="C345" s="2" t="str">
        <f t="shared" ca="1" si="61"/>
        <v>Aug</v>
      </c>
      <c r="D345" s="2" t="str">
        <f t="shared" ca="1" si="62"/>
        <v>North</v>
      </c>
      <c r="E345" s="2" t="str">
        <f t="shared" ca="1" si="63"/>
        <v>West Bengal</v>
      </c>
      <c r="F345" s="2" t="str">
        <f t="shared" ca="1" si="64"/>
        <v>Sales</v>
      </c>
      <c r="G345" s="2" t="str">
        <f t="shared" ca="1" si="65"/>
        <v>Executive</v>
      </c>
      <c r="H345" s="2" t="str">
        <f t="shared" ca="1" si="66"/>
        <v>Books</v>
      </c>
      <c r="I345" s="2">
        <f t="shared" ca="1" si="67"/>
        <v>29</v>
      </c>
      <c r="J345" s="2">
        <f t="shared" ca="1" si="68"/>
        <v>6090</v>
      </c>
      <c r="K345" s="2">
        <f t="shared" ca="1" si="69"/>
        <v>-243.6</v>
      </c>
      <c r="L345" s="2">
        <f t="shared" ca="1" si="70"/>
        <v>14272</v>
      </c>
      <c r="M345" s="2" t="str">
        <f t="shared" ca="1" si="71"/>
        <v>No</v>
      </c>
    </row>
    <row r="346" spans="1:13" x14ac:dyDescent="0.25">
      <c r="A346" s="2" t="str">
        <f t="shared" si="60"/>
        <v>E345</v>
      </c>
      <c r="B346" s="2" t="s">
        <v>323</v>
      </c>
      <c r="C346" s="2" t="str">
        <f t="shared" ca="1" si="61"/>
        <v>Jun</v>
      </c>
      <c r="D346" s="2" t="str">
        <f t="shared" ca="1" si="62"/>
        <v>East</v>
      </c>
      <c r="E346" s="2" t="str">
        <f t="shared" ca="1" si="63"/>
        <v>West Bengal</v>
      </c>
      <c r="F346" s="2" t="str">
        <f t="shared" ca="1" si="64"/>
        <v>Marketing</v>
      </c>
      <c r="G346" s="2" t="str">
        <f t="shared" ca="1" si="65"/>
        <v>Supervisor</v>
      </c>
      <c r="H346" s="2" t="str">
        <f t="shared" ca="1" si="66"/>
        <v>Shoes</v>
      </c>
      <c r="I346" s="2">
        <f t="shared" ca="1" si="67"/>
        <v>76</v>
      </c>
      <c r="J346" s="2">
        <f t="shared" ca="1" si="68"/>
        <v>39140</v>
      </c>
      <c r="K346" s="2">
        <f t="shared" ca="1" si="69"/>
        <v>11350.6</v>
      </c>
      <c r="L346" s="2">
        <f t="shared" ca="1" si="70"/>
        <v>28438</v>
      </c>
      <c r="M346" s="2" t="str">
        <f t="shared" ca="1" si="71"/>
        <v>Yes</v>
      </c>
    </row>
    <row r="347" spans="1:13" x14ac:dyDescent="0.25">
      <c r="A347" s="2" t="str">
        <f t="shared" si="60"/>
        <v>E346</v>
      </c>
      <c r="B347" s="2" t="s">
        <v>324</v>
      </c>
      <c r="C347" s="2" t="str">
        <f t="shared" ca="1" si="61"/>
        <v>Oct</v>
      </c>
      <c r="D347" s="2" t="str">
        <f t="shared" ca="1" si="62"/>
        <v>East</v>
      </c>
      <c r="E347" s="2" t="str">
        <f t="shared" ca="1" si="63"/>
        <v>Madhya Pradesh</v>
      </c>
      <c r="F347" s="2" t="str">
        <f t="shared" ca="1" si="64"/>
        <v>Sales</v>
      </c>
      <c r="G347" s="2" t="str">
        <f t="shared" ca="1" si="65"/>
        <v>Executive</v>
      </c>
      <c r="H347" s="2" t="str">
        <f t="shared" ca="1" si="66"/>
        <v>Shoes</v>
      </c>
      <c r="I347" s="2">
        <f t="shared" ca="1" si="67"/>
        <v>61</v>
      </c>
      <c r="J347" s="2">
        <f t="shared" ca="1" si="68"/>
        <v>44347</v>
      </c>
      <c r="K347" s="2">
        <f t="shared" ca="1" si="69"/>
        <v>-3547.76</v>
      </c>
      <c r="L347" s="2">
        <f t="shared" ca="1" si="70"/>
        <v>32942</v>
      </c>
      <c r="M347" s="2" t="str">
        <f t="shared" ca="1" si="71"/>
        <v>Yes</v>
      </c>
    </row>
    <row r="348" spans="1:13" x14ac:dyDescent="0.25">
      <c r="A348" s="2" t="str">
        <f t="shared" si="60"/>
        <v>E347</v>
      </c>
      <c r="B348" s="2" t="s">
        <v>47</v>
      </c>
      <c r="C348" s="2" t="str">
        <f t="shared" ca="1" si="61"/>
        <v>Jun</v>
      </c>
      <c r="D348" s="2" t="str">
        <f t="shared" ca="1" si="62"/>
        <v>East</v>
      </c>
      <c r="E348" s="2" t="str">
        <f t="shared" ca="1" si="63"/>
        <v>Madhya Pradesh</v>
      </c>
      <c r="F348" s="2" t="str">
        <f t="shared" ca="1" si="64"/>
        <v>Marketing</v>
      </c>
      <c r="G348" s="2" t="str">
        <f t="shared" ca="1" si="65"/>
        <v>Executive</v>
      </c>
      <c r="H348" s="2" t="str">
        <f t="shared" ca="1" si="66"/>
        <v>Clothing</v>
      </c>
      <c r="I348" s="2">
        <f t="shared" ca="1" si="67"/>
        <v>83</v>
      </c>
      <c r="J348" s="2">
        <f t="shared" ca="1" si="68"/>
        <v>77854</v>
      </c>
      <c r="K348" s="2">
        <f t="shared" ca="1" si="69"/>
        <v>21020.58</v>
      </c>
      <c r="L348" s="2">
        <f t="shared" ca="1" si="70"/>
        <v>48766</v>
      </c>
      <c r="M348" s="2" t="str">
        <f t="shared" ca="1" si="71"/>
        <v>Yes</v>
      </c>
    </row>
    <row r="349" spans="1:13" x14ac:dyDescent="0.25">
      <c r="A349" s="2" t="str">
        <f t="shared" si="60"/>
        <v>E348</v>
      </c>
      <c r="B349" s="2" t="s">
        <v>54</v>
      </c>
      <c r="C349" s="2" t="str">
        <f t="shared" ca="1" si="61"/>
        <v>Aug</v>
      </c>
      <c r="D349" s="2" t="str">
        <f t="shared" ca="1" si="62"/>
        <v>East</v>
      </c>
      <c r="E349" s="2" t="str">
        <f t="shared" ca="1" si="63"/>
        <v>Gujarat</v>
      </c>
      <c r="F349" s="2" t="str">
        <f t="shared" ca="1" si="64"/>
        <v>Sales</v>
      </c>
      <c r="G349" s="2" t="str">
        <f t="shared" ca="1" si="65"/>
        <v>Executive</v>
      </c>
      <c r="H349" s="2" t="str">
        <f t="shared" ca="1" si="66"/>
        <v>Shoes</v>
      </c>
      <c r="I349" s="2">
        <f t="shared" ca="1" si="67"/>
        <v>20</v>
      </c>
      <c r="J349" s="2">
        <f t="shared" ca="1" si="68"/>
        <v>6780</v>
      </c>
      <c r="K349" s="2">
        <f t="shared" ca="1" si="69"/>
        <v>-271.2</v>
      </c>
      <c r="L349" s="2">
        <f t="shared" ca="1" si="70"/>
        <v>29876</v>
      </c>
      <c r="M349" s="2" t="str">
        <f t="shared" ca="1" si="71"/>
        <v>No</v>
      </c>
    </row>
    <row r="350" spans="1:13" x14ac:dyDescent="0.25">
      <c r="A350" s="2" t="str">
        <f t="shared" si="60"/>
        <v>E349</v>
      </c>
      <c r="B350" s="2" t="s">
        <v>38</v>
      </c>
      <c r="C350" s="2" t="str">
        <f t="shared" ca="1" si="61"/>
        <v>Feb</v>
      </c>
      <c r="D350" s="2" t="str">
        <f t="shared" ca="1" si="62"/>
        <v>South</v>
      </c>
      <c r="E350" s="2" t="str">
        <f t="shared" ca="1" si="63"/>
        <v>Gujarat</v>
      </c>
      <c r="F350" s="2" t="str">
        <f t="shared" ca="1" si="64"/>
        <v>Operations</v>
      </c>
      <c r="G350" s="2" t="str">
        <f t="shared" ca="1" si="65"/>
        <v>Specialist</v>
      </c>
      <c r="H350" s="2" t="str">
        <f t="shared" ca="1" si="66"/>
        <v>Shoes</v>
      </c>
      <c r="I350" s="2">
        <f t="shared" ca="1" si="67"/>
        <v>79</v>
      </c>
      <c r="J350" s="2">
        <f t="shared" ca="1" si="68"/>
        <v>25438</v>
      </c>
      <c r="K350" s="2">
        <f t="shared" ca="1" si="69"/>
        <v>3561.32</v>
      </c>
      <c r="L350" s="2">
        <f t="shared" ca="1" si="70"/>
        <v>31400</v>
      </c>
      <c r="M350" s="2" t="str">
        <f t="shared" ca="1" si="71"/>
        <v>No</v>
      </c>
    </row>
    <row r="351" spans="1:13" x14ac:dyDescent="0.25">
      <c r="A351" s="2" t="str">
        <f t="shared" si="60"/>
        <v>E350</v>
      </c>
      <c r="B351" s="2" t="s">
        <v>325</v>
      </c>
      <c r="C351" s="2" t="str">
        <f t="shared" ca="1" si="61"/>
        <v>Sep</v>
      </c>
      <c r="D351" s="2" t="str">
        <f t="shared" ca="1" si="62"/>
        <v>North</v>
      </c>
      <c r="E351" s="2" t="str">
        <f t="shared" ca="1" si="63"/>
        <v>Tamil Nadu</v>
      </c>
      <c r="F351" s="2" t="str">
        <f t="shared" ca="1" si="64"/>
        <v>Operations</v>
      </c>
      <c r="G351" s="2" t="str">
        <f t="shared" ca="1" si="65"/>
        <v>Executive</v>
      </c>
      <c r="H351" s="2" t="str">
        <f t="shared" ca="1" si="66"/>
        <v>Electronics</v>
      </c>
      <c r="I351" s="2">
        <f t="shared" ca="1" si="67"/>
        <v>41</v>
      </c>
      <c r="J351" s="2">
        <f t="shared" ca="1" si="68"/>
        <v>12874</v>
      </c>
      <c r="K351" s="2">
        <f t="shared" ca="1" si="69"/>
        <v>1287.4000000000001</v>
      </c>
      <c r="L351" s="2">
        <f t="shared" ca="1" si="70"/>
        <v>36991</v>
      </c>
      <c r="M351" s="2" t="str">
        <f t="shared" ca="1" si="71"/>
        <v>No</v>
      </c>
    </row>
    <row r="352" spans="1:13" x14ac:dyDescent="0.25">
      <c r="A352" s="2" t="str">
        <f t="shared" si="60"/>
        <v>E351</v>
      </c>
      <c r="B352" s="2" t="s">
        <v>326</v>
      </c>
      <c r="C352" s="2" t="str">
        <f t="shared" ca="1" si="61"/>
        <v>Sep</v>
      </c>
      <c r="D352" s="2" t="str">
        <f t="shared" ca="1" si="62"/>
        <v>North</v>
      </c>
      <c r="E352" s="2" t="str">
        <f t="shared" ca="1" si="63"/>
        <v>Gujarat</v>
      </c>
      <c r="F352" s="2" t="str">
        <f t="shared" ca="1" si="64"/>
        <v>Sales</v>
      </c>
      <c r="G352" s="2" t="str">
        <f t="shared" ca="1" si="65"/>
        <v>Supervisor</v>
      </c>
      <c r="H352" s="2" t="str">
        <f t="shared" ca="1" si="66"/>
        <v>Electronics</v>
      </c>
      <c r="I352" s="2">
        <f t="shared" ca="1" si="67"/>
        <v>67</v>
      </c>
      <c r="J352" s="2">
        <f t="shared" ca="1" si="68"/>
        <v>58022</v>
      </c>
      <c r="K352" s="2">
        <f t="shared" ca="1" si="69"/>
        <v>16826.38</v>
      </c>
      <c r="L352" s="2">
        <f t="shared" ca="1" si="70"/>
        <v>26769</v>
      </c>
      <c r="M352" s="2" t="str">
        <f t="shared" ca="1" si="71"/>
        <v>Yes</v>
      </c>
    </row>
    <row r="353" spans="1:13" x14ac:dyDescent="0.25">
      <c r="A353" s="2" t="str">
        <f t="shared" si="60"/>
        <v>E352</v>
      </c>
      <c r="B353" s="2" t="s">
        <v>327</v>
      </c>
      <c r="C353" s="2" t="str">
        <f t="shared" ca="1" si="61"/>
        <v>Feb</v>
      </c>
      <c r="D353" s="2" t="str">
        <f t="shared" ca="1" si="62"/>
        <v>North</v>
      </c>
      <c r="E353" s="2" t="str">
        <f t="shared" ca="1" si="63"/>
        <v>Punjab</v>
      </c>
      <c r="F353" s="2" t="str">
        <f t="shared" ca="1" si="64"/>
        <v>Customer Support</v>
      </c>
      <c r="G353" s="2" t="str">
        <f t="shared" ca="1" si="65"/>
        <v>Supervisor</v>
      </c>
      <c r="H353" s="2" t="str">
        <f t="shared" ca="1" si="66"/>
        <v>Shoes</v>
      </c>
      <c r="I353" s="2">
        <f t="shared" ca="1" si="67"/>
        <v>29</v>
      </c>
      <c r="J353" s="2">
        <f t="shared" ca="1" si="68"/>
        <v>15225</v>
      </c>
      <c r="K353" s="2">
        <f t="shared" ca="1" si="69"/>
        <v>4415.25</v>
      </c>
      <c r="L353" s="2">
        <f t="shared" ca="1" si="70"/>
        <v>40652</v>
      </c>
      <c r="M353" s="2" t="str">
        <f t="shared" ca="1" si="71"/>
        <v>No</v>
      </c>
    </row>
    <row r="354" spans="1:13" x14ac:dyDescent="0.25">
      <c r="A354" s="2" t="str">
        <f t="shared" si="60"/>
        <v>E353</v>
      </c>
      <c r="B354" s="2" t="s">
        <v>328</v>
      </c>
      <c r="C354" s="2" t="str">
        <f t="shared" ca="1" si="61"/>
        <v>May</v>
      </c>
      <c r="D354" s="2" t="str">
        <f t="shared" ca="1" si="62"/>
        <v>East</v>
      </c>
      <c r="E354" s="2" t="str">
        <f t="shared" ca="1" si="63"/>
        <v>Gujarat</v>
      </c>
      <c r="F354" s="2" t="str">
        <f t="shared" ca="1" si="64"/>
        <v>Customer Support</v>
      </c>
      <c r="G354" s="2" t="str">
        <f t="shared" ca="1" si="65"/>
        <v>Supervisor</v>
      </c>
      <c r="H354" s="2" t="str">
        <f t="shared" ca="1" si="66"/>
        <v>Electronics</v>
      </c>
      <c r="I354" s="2">
        <f t="shared" ca="1" si="67"/>
        <v>82</v>
      </c>
      <c r="J354" s="2">
        <f t="shared" ca="1" si="68"/>
        <v>29110</v>
      </c>
      <c r="K354" s="2">
        <f t="shared" ca="1" si="69"/>
        <v>3493.2</v>
      </c>
      <c r="L354" s="2">
        <f t="shared" ca="1" si="70"/>
        <v>33154</v>
      </c>
      <c r="M354" s="2" t="str">
        <f t="shared" ca="1" si="71"/>
        <v>No</v>
      </c>
    </row>
    <row r="355" spans="1:13" x14ac:dyDescent="0.25">
      <c r="A355" s="2" t="str">
        <f t="shared" si="60"/>
        <v>E354</v>
      </c>
      <c r="B355" s="2" t="s">
        <v>329</v>
      </c>
      <c r="C355" s="2" t="str">
        <f t="shared" ca="1" si="61"/>
        <v>Dec</v>
      </c>
      <c r="D355" s="2" t="str">
        <f t="shared" ca="1" si="62"/>
        <v>North</v>
      </c>
      <c r="E355" s="2" t="str">
        <f t="shared" ca="1" si="63"/>
        <v>Punjab</v>
      </c>
      <c r="F355" s="2" t="str">
        <f t="shared" ca="1" si="64"/>
        <v>Sales</v>
      </c>
      <c r="G355" s="2" t="str">
        <f t="shared" ca="1" si="65"/>
        <v>Specialist</v>
      </c>
      <c r="H355" s="2" t="str">
        <f t="shared" ca="1" si="66"/>
        <v>Shoes</v>
      </c>
      <c r="I355" s="2">
        <f t="shared" ca="1" si="67"/>
        <v>52</v>
      </c>
      <c r="J355" s="2">
        <f t="shared" ca="1" si="68"/>
        <v>24076</v>
      </c>
      <c r="K355" s="2">
        <f t="shared" ca="1" si="69"/>
        <v>7222.8</v>
      </c>
      <c r="L355" s="2">
        <f t="shared" ca="1" si="70"/>
        <v>16172</v>
      </c>
      <c r="M355" s="2" t="str">
        <f t="shared" ca="1" si="71"/>
        <v>Yes</v>
      </c>
    </row>
    <row r="356" spans="1:13" x14ac:dyDescent="0.25">
      <c r="A356" s="2" t="str">
        <f t="shared" si="60"/>
        <v>E355</v>
      </c>
      <c r="B356" s="2" t="s">
        <v>7</v>
      </c>
      <c r="C356" s="2" t="str">
        <f t="shared" ca="1" si="61"/>
        <v>May</v>
      </c>
      <c r="D356" s="2" t="str">
        <f t="shared" ca="1" si="62"/>
        <v>West</v>
      </c>
      <c r="E356" s="2" t="str">
        <f t="shared" ca="1" si="63"/>
        <v>West Bengal</v>
      </c>
      <c r="F356" s="2" t="str">
        <f t="shared" ca="1" si="64"/>
        <v>Operations</v>
      </c>
      <c r="G356" s="2" t="str">
        <f t="shared" ca="1" si="65"/>
        <v>Specialist</v>
      </c>
      <c r="H356" s="2" t="str">
        <f t="shared" ca="1" si="66"/>
        <v>Clothing</v>
      </c>
      <c r="I356" s="2">
        <f t="shared" ca="1" si="67"/>
        <v>57</v>
      </c>
      <c r="J356" s="2">
        <f t="shared" ca="1" si="68"/>
        <v>13851</v>
      </c>
      <c r="K356" s="2">
        <f t="shared" ca="1" si="69"/>
        <v>3047.22</v>
      </c>
      <c r="L356" s="2">
        <f t="shared" ca="1" si="70"/>
        <v>46435</v>
      </c>
      <c r="M356" s="2" t="str">
        <f t="shared" ca="1" si="71"/>
        <v>No</v>
      </c>
    </row>
    <row r="357" spans="1:13" x14ac:dyDescent="0.25">
      <c r="A357" s="2" t="str">
        <f t="shared" si="60"/>
        <v>E356</v>
      </c>
      <c r="B357" s="2" t="s">
        <v>330</v>
      </c>
      <c r="C357" s="2" t="str">
        <f t="shared" ca="1" si="61"/>
        <v>Mar</v>
      </c>
      <c r="D357" s="2" t="str">
        <f t="shared" ca="1" si="62"/>
        <v>West</v>
      </c>
      <c r="E357" s="2" t="str">
        <f t="shared" ca="1" si="63"/>
        <v>Madhya Pradesh</v>
      </c>
      <c r="F357" s="2" t="str">
        <f t="shared" ca="1" si="64"/>
        <v>Marketing</v>
      </c>
      <c r="G357" s="2" t="str">
        <f t="shared" ca="1" si="65"/>
        <v>Analyst</v>
      </c>
      <c r="H357" s="2" t="str">
        <f t="shared" ca="1" si="66"/>
        <v>Electronics</v>
      </c>
      <c r="I357" s="2">
        <f t="shared" ca="1" si="67"/>
        <v>98</v>
      </c>
      <c r="J357" s="2">
        <f t="shared" ca="1" si="68"/>
        <v>68796</v>
      </c>
      <c r="K357" s="2">
        <f t="shared" ca="1" si="69"/>
        <v>13759.2</v>
      </c>
      <c r="L357" s="2">
        <f t="shared" ca="1" si="70"/>
        <v>39345</v>
      </c>
      <c r="M357" s="2" t="str">
        <f t="shared" ca="1" si="71"/>
        <v>Yes</v>
      </c>
    </row>
    <row r="358" spans="1:13" x14ac:dyDescent="0.25">
      <c r="A358" s="2" t="str">
        <f t="shared" si="60"/>
        <v>E357</v>
      </c>
      <c r="B358" s="2" t="s">
        <v>331</v>
      </c>
      <c r="C358" s="2" t="str">
        <f t="shared" ca="1" si="61"/>
        <v>Jun</v>
      </c>
      <c r="D358" s="2" t="str">
        <f t="shared" ca="1" si="62"/>
        <v>North</v>
      </c>
      <c r="E358" s="2" t="str">
        <f t="shared" ca="1" si="63"/>
        <v>Madhya Pradesh</v>
      </c>
      <c r="F358" s="2" t="str">
        <f t="shared" ca="1" si="64"/>
        <v>HR</v>
      </c>
      <c r="G358" s="2" t="str">
        <f t="shared" ca="1" si="65"/>
        <v>Specialist</v>
      </c>
      <c r="H358" s="2" t="str">
        <f t="shared" ca="1" si="66"/>
        <v>Electronics</v>
      </c>
      <c r="I358" s="2">
        <f t="shared" ca="1" si="67"/>
        <v>99</v>
      </c>
      <c r="J358" s="2">
        <f t="shared" ca="1" si="68"/>
        <v>31977</v>
      </c>
      <c r="K358" s="2">
        <f t="shared" ca="1" si="69"/>
        <v>6075.63</v>
      </c>
      <c r="L358" s="2">
        <f t="shared" ca="1" si="70"/>
        <v>13073</v>
      </c>
      <c r="M358" s="2" t="str">
        <f t="shared" ca="1" si="71"/>
        <v>Yes</v>
      </c>
    </row>
    <row r="359" spans="1:13" x14ac:dyDescent="0.25">
      <c r="A359" s="2" t="str">
        <f t="shared" si="60"/>
        <v>E358</v>
      </c>
      <c r="B359" s="2" t="s">
        <v>332</v>
      </c>
      <c r="C359" s="2" t="str">
        <f t="shared" ca="1" si="61"/>
        <v>Jun</v>
      </c>
      <c r="D359" s="2" t="str">
        <f t="shared" ca="1" si="62"/>
        <v>West</v>
      </c>
      <c r="E359" s="2" t="str">
        <f t="shared" ca="1" si="63"/>
        <v>West Bengal</v>
      </c>
      <c r="F359" s="2" t="str">
        <f t="shared" ca="1" si="64"/>
        <v>HR</v>
      </c>
      <c r="G359" s="2" t="str">
        <f t="shared" ca="1" si="65"/>
        <v>Supervisor</v>
      </c>
      <c r="H359" s="2" t="str">
        <f t="shared" ca="1" si="66"/>
        <v>Shoes</v>
      </c>
      <c r="I359" s="2">
        <f t="shared" ca="1" si="67"/>
        <v>63</v>
      </c>
      <c r="J359" s="2">
        <f t="shared" ca="1" si="68"/>
        <v>24192</v>
      </c>
      <c r="K359" s="2">
        <f t="shared" ca="1" si="69"/>
        <v>2419.1999999999998</v>
      </c>
      <c r="L359" s="2">
        <f t="shared" ca="1" si="70"/>
        <v>35205</v>
      </c>
      <c r="M359" s="2" t="str">
        <f t="shared" ca="1" si="71"/>
        <v>No</v>
      </c>
    </row>
    <row r="360" spans="1:13" x14ac:dyDescent="0.25">
      <c r="A360" s="2" t="str">
        <f t="shared" si="60"/>
        <v>E359</v>
      </c>
      <c r="B360" s="2" t="s">
        <v>333</v>
      </c>
      <c r="C360" s="2" t="str">
        <f t="shared" ca="1" si="61"/>
        <v>Apr</v>
      </c>
      <c r="D360" s="2" t="str">
        <f t="shared" ca="1" si="62"/>
        <v>East</v>
      </c>
      <c r="E360" s="2" t="str">
        <f t="shared" ca="1" si="63"/>
        <v>West Bengal</v>
      </c>
      <c r="F360" s="2" t="str">
        <f t="shared" ca="1" si="64"/>
        <v>Sales</v>
      </c>
      <c r="G360" s="2" t="str">
        <f t="shared" ca="1" si="65"/>
        <v>Executive</v>
      </c>
      <c r="H360" s="2" t="str">
        <f t="shared" ca="1" si="66"/>
        <v>Clothing</v>
      </c>
      <c r="I360" s="2">
        <f t="shared" ca="1" si="67"/>
        <v>79</v>
      </c>
      <c r="J360" s="2">
        <f t="shared" ca="1" si="68"/>
        <v>78368</v>
      </c>
      <c r="K360" s="2">
        <f t="shared" ca="1" si="69"/>
        <v>-5485.76</v>
      </c>
      <c r="L360" s="2">
        <f t="shared" ca="1" si="70"/>
        <v>10016</v>
      </c>
      <c r="M360" s="2" t="str">
        <f t="shared" ca="1" si="71"/>
        <v>Yes</v>
      </c>
    </row>
    <row r="361" spans="1:13" x14ac:dyDescent="0.25">
      <c r="A361" s="2" t="str">
        <f t="shared" si="60"/>
        <v>E360</v>
      </c>
      <c r="B361" s="2" t="s">
        <v>334</v>
      </c>
      <c r="C361" s="2" t="str">
        <f t="shared" ca="1" si="61"/>
        <v>Aug</v>
      </c>
      <c r="D361" s="2" t="str">
        <f t="shared" ca="1" si="62"/>
        <v>South</v>
      </c>
      <c r="E361" s="2" t="str">
        <f t="shared" ca="1" si="63"/>
        <v>Madhya Pradesh</v>
      </c>
      <c r="F361" s="2" t="str">
        <f t="shared" ca="1" si="64"/>
        <v>Customer Support</v>
      </c>
      <c r="G361" s="2" t="str">
        <f t="shared" ca="1" si="65"/>
        <v>Supervisor</v>
      </c>
      <c r="H361" s="2" t="str">
        <f t="shared" ca="1" si="66"/>
        <v>Electronics</v>
      </c>
      <c r="I361" s="2">
        <f t="shared" ca="1" si="67"/>
        <v>70</v>
      </c>
      <c r="J361" s="2">
        <f t="shared" ca="1" si="68"/>
        <v>52570</v>
      </c>
      <c r="K361" s="2">
        <f t="shared" ca="1" si="69"/>
        <v>7359.8</v>
      </c>
      <c r="L361" s="2">
        <f t="shared" ca="1" si="70"/>
        <v>24319</v>
      </c>
      <c r="M361" s="2" t="str">
        <f t="shared" ca="1" si="71"/>
        <v>Yes</v>
      </c>
    </row>
    <row r="362" spans="1:13" x14ac:dyDescent="0.25">
      <c r="A362" s="2" t="str">
        <f t="shared" si="60"/>
        <v>E361</v>
      </c>
      <c r="B362" s="2" t="s">
        <v>335</v>
      </c>
      <c r="C362" s="2" t="str">
        <f t="shared" ca="1" si="61"/>
        <v>Sep</v>
      </c>
      <c r="D362" s="2" t="str">
        <f t="shared" ca="1" si="62"/>
        <v>East</v>
      </c>
      <c r="E362" s="2" t="str">
        <f t="shared" ca="1" si="63"/>
        <v>Tamil Nadu</v>
      </c>
      <c r="F362" s="2" t="str">
        <f t="shared" ca="1" si="64"/>
        <v>HR</v>
      </c>
      <c r="G362" s="2" t="str">
        <f t="shared" ca="1" si="65"/>
        <v>Analyst</v>
      </c>
      <c r="H362" s="2" t="str">
        <f t="shared" ca="1" si="66"/>
        <v>Electronics</v>
      </c>
      <c r="I362" s="2">
        <f t="shared" ca="1" si="67"/>
        <v>26</v>
      </c>
      <c r="J362" s="2">
        <f t="shared" ca="1" si="68"/>
        <v>10166</v>
      </c>
      <c r="K362" s="2">
        <f t="shared" ca="1" si="69"/>
        <v>-508.3</v>
      </c>
      <c r="L362" s="2">
        <f t="shared" ca="1" si="70"/>
        <v>30755</v>
      </c>
      <c r="M362" s="2" t="str">
        <f t="shared" ca="1" si="71"/>
        <v>No</v>
      </c>
    </row>
    <row r="363" spans="1:13" x14ac:dyDescent="0.25">
      <c r="A363" s="2" t="str">
        <f t="shared" si="60"/>
        <v>E362</v>
      </c>
      <c r="B363" s="2" t="s">
        <v>336</v>
      </c>
      <c r="C363" s="2" t="str">
        <f t="shared" ca="1" si="61"/>
        <v>Jul</v>
      </c>
      <c r="D363" s="2" t="str">
        <f t="shared" ca="1" si="62"/>
        <v>South</v>
      </c>
      <c r="E363" s="2" t="str">
        <f t="shared" ca="1" si="63"/>
        <v>West Bengal</v>
      </c>
      <c r="F363" s="2" t="str">
        <f t="shared" ca="1" si="64"/>
        <v>Finance</v>
      </c>
      <c r="G363" s="2" t="str">
        <f t="shared" ca="1" si="65"/>
        <v>Specialist</v>
      </c>
      <c r="H363" s="2" t="str">
        <f t="shared" ca="1" si="66"/>
        <v>Clothing</v>
      </c>
      <c r="I363" s="2">
        <f t="shared" ca="1" si="67"/>
        <v>77</v>
      </c>
      <c r="J363" s="2">
        <f t="shared" ca="1" si="68"/>
        <v>22869</v>
      </c>
      <c r="K363" s="2">
        <f t="shared" ca="1" si="69"/>
        <v>6860.7</v>
      </c>
      <c r="L363" s="2">
        <f t="shared" ca="1" si="70"/>
        <v>39723</v>
      </c>
      <c r="M363" s="2" t="str">
        <f t="shared" ca="1" si="71"/>
        <v>No</v>
      </c>
    </row>
    <row r="364" spans="1:13" x14ac:dyDescent="0.25">
      <c r="A364" s="2" t="str">
        <f t="shared" si="60"/>
        <v>E363</v>
      </c>
      <c r="B364" s="2" t="s">
        <v>337</v>
      </c>
      <c r="C364" s="2" t="str">
        <f t="shared" ca="1" si="61"/>
        <v>Apr</v>
      </c>
      <c r="D364" s="2" t="str">
        <f t="shared" ca="1" si="62"/>
        <v>East</v>
      </c>
      <c r="E364" s="2" t="str">
        <f t="shared" ca="1" si="63"/>
        <v>Gujarat</v>
      </c>
      <c r="F364" s="2" t="str">
        <f t="shared" ca="1" si="64"/>
        <v>Finance</v>
      </c>
      <c r="G364" s="2" t="str">
        <f t="shared" ca="1" si="65"/>
        <v>Supervisor</v>
      </c>
      <c r="H364" s="2" t="str">
        <f t="shared" ca="1" si="66"/>
        <v>Electronics</v>
      </c>
      <c r="I364" s="2">
        <f t="shared" ca="1" si="67"/>
        <v>55</v>
      </c>
      <c r="J364" s="2">
        <f t="shared" ca="1" si="68"/>
        <v>11715</v>
      </c>
      <c r="K364" s="2">
        <f t="shared" ca="1" si="69"/>
        <v>2577.3000000000002</v>
      </c>
      <c r="L364" s="2">
        <f t="shared" ca="1" si="70"/>
        <v>29642</v>
      </c>
      <c r="M364" s="2" t="str">
        <f t="shared" ca="1" si="71"/>
        <v>No</v>
      </c>
    </row>
    <row r="365" spans="1:13" x14ac:dyDescent="0.25">
      <c r="A365" s="2" t="str">
        <f t="shared" si="60"/>
        <v>E364</v>
      </c>
      <c r="B365" s="2" t="s">
        <v>338</v>
      </c>
      <c r="C365" s="2" t="str">
        <f t="shared" ca="1" si="61"/>
        <v>Jun</v>
      </c>
      <c r="D365" s="2" t="str">
        <f t="shared" ca="1" si="62"/>
        <v>West</v>
      </c>
      <c r="E365" s="2" t="str">
        <f t="shared" ca="1" si="63"/>
        <v>Punjab</v>
      </c>
      <c r="F365" s="2" t="str">
        <f t="shared" ca="1" si="64"/>
        <v>Sales</v>
      </c>
      <c r="G365" s="2" t="str">
        <f t="shared" ca="1" si="65"/>
        <v>Executive</v>
      </c>
      <c r="H365" s="2" t="str">
        <f t="shared" ca="1" si="66"/>
        <v>Books</v>
      </c>
      <c r="I365" s="2">
        <f t="shared" ca="1" si="67"/>
        <v>50</v>
      </c>
      <c r="J365" s="2">
        <f t="shared" ca="1" si="68"/>
        <v>14300</v>
      </c>
      <c r="K365" s="2">
        <f t="shared" ca="1" si="69"/>
        <v>4147</v>
      </c>
      <c r="L365" s="2">
        <f t="shared" ca="1" si="70"/>
        <v>44350</v>
      </c>
      <c r="M365" s="2" t="str">
        <f t="shared" ca="1" si="71"/>
        <v>No</v>
      </c>
    </row>
    <row r="366" spans="1:13" x14ac:dyDescent="0.25">
      <c r="A366" s="2" t="str">
        <f t="shared" si="60"/>
        <v>E365</v>
      </c>
      <c r="B366" s="2" t="s">
        <v>339</v>
      </c>
      <c r="C366" s="2" t="str">
        <f t="shared" ca="1" si="61"/>
        <v>Mar</v>
      </c>
      <c r="D366" s="2" t="str">
        <f t="shared" ca="1" si="62"/>
        <v>East</v>
      </c>
      <c r="E366" s="2" t="str">
        <f t="shared" ca="1" si="63"/>
        <v>Delhi</v>
      </c>
      <c r="F366" s="2" t="str">
        <f t="shared" ca="1" si="64"/>
        <v>Marketing</v>
      </c>
      <c r="G366" s="2" t="str">
        <f t="shared" ca="1" si="65"/>
        <v>Specialist</v>
      </c>
      <c r="H366" s="2" t="str">
        <f t="shared" ca="1" si="66"/>
        <v>Books</v>
      </c>
      <c r="I366" s="2">
        <f t="shared" ca="1" si="67"/>
        <v>80</v>
      </c>
      <c r="J366" s="2">
        <f t="shared" ca="1" si="68"/>
        <v>25840</v>
      </c>
      <c r="K366" s="2">
        <f t="shared" ca="1" si="69"/>
        <v>-2067.1999999999998</v>
      </c>
      <c r="L366" s="2">
        <f t="shared" ca="1" si="70"/>
        <v>46813</v>
      </c>
      <c r="M366" s="2" t="str">
        <f t="shared" ca="1" si="71"/>
        <v>No</v>
      </c>
    </row>
    <row r="367" spans="1:13" x14ac:dyDescent="0.25">
      <c r="A367" s="2" t="str">
        <f t="shared" si="60"/>
        <v>E366</v>
      </c>
      <c r="B367" s="2" t="s">
        <v>86</v>
      </c>
      <c r="C367" s="2" t="str">
        <f t="shared" ca="1" si="61"/>
        <v>Jan</v>
      </c>
      <c r="D367" s="2" t="str">
        <f t="shared" ca="1" si="62"/>
        <v>North</v>
      </c>
      <c r="E367" s="2" t="str">
        <f t="shared" ca="1" si="63"/>
        <v>Tamil Nadu</v>
      </c>
      <c r="F367" s="2" t="str">
        <f t="shared" ca="1" si="64"/>
        <v>Marketing</v>
      </c>
      <c r="G367" s="2" t="str">
        <f t="shared" ca="1" si="65"/>
        <v>Supervisor</v>
      </c>
      <c r="H367" s="2" t="str">
        <f t="shared" ca="1" si="66"/>
        <v>Books</v>
      </c>
      <c r="I367" s="2">
        <f t="shared" ca="1" si="67"/>
        <v>25</v>
      </c>
      <c r="J367" s="2">
        <f t="shared" ca="1" si="68"/>
        <v>6525</v>
      </c>
      <c r="K367" s="2">
        <f t="shared" ca="1" si="69"/>
        <v>-195.75</v>
      </c>
      <c r="L367" s="2">
        <f t="shared" ca="1" si="70"/>
        <v>27012</v>
      </c>
      <c r="M367" s="2" t="str">
        <f t="shared" ca="1" si="71"/>
        <v>No</v>
      </c>
    </row>
    <row r="368" spans="1:13" x14ac:dyDescent="0.25">
      <c r="A368" s="2" t="str">
        <f t="shared" si="60"/>
        <v>E367</v>
      </c>
      <c r="B368" s="2" t="s">
        <v>340</v>
      </c>
      <c r="C368" s="2" t="str">
        <f t="shared" ca="1" si="61"/>
        <v>Jan</v>
      </c>
      <c r="D368" s="2" t="str">
        <f t="shared" ca="1" si="62"/>
        <v>West</v>
      </c>
      <c r="E368" s="2" t="str">
        <f t="shared" ca="1" si="63"/>
        <v>Madhya Pradesh</v>
      </c>
      <c r="F368" s="2" t="str">
        <f t="shared" ca="1" si="64"/>
        <v>Operations</v>
      </c>
      <c r="G368" s="2" t="str">
        <f t="shared" ca="1" si="65"/>
        <v>Supervisor</v>
      </c>
      <c r="H368" s="2" t="str">
        <f t="shared" ca="1" si="66"/>
        <v>Books</v>
      </c>
      <c r="I368" s="2">
        <f t="shared" ca="1" si="67"/>
        <v>26</v>
      </c>
      <c r="J368" s="2">
        <f t="shared" ca="1" si="68"/>
        <v>16094</v>
      </c>
      <c r="K368" s="2">
        <f t="shared" ca="1" si="69"/>
        <v>1287.52</v>
      </c>
      <c r="L368" s="2">
        <f t="shared" ca="1" si="70"/>
        <v>10890</v>
      </c>
      <c r="M368" s="2" t="str">
        <f t="shared" ca="1" si="71"/>
        <v>Yes</v>
      </c>
    </row>
    <row r="369" spans="1:13" x14ac:dyDescent="0.25">
      <c r="A369" s="2" t="str">
        <f t="shared" si="60"/>
        <v>E368</v>
      </c>
      <c r="B369" s="2" t="s">
        <v>341</v>
      </c>
      <c r="C369" s="2" t="str">
        <f t="shared" ca="1" si="61"/>
        <v>Jul</v>
      </c>
      <c r="D369" s="2" t="str">
        <f t="shared" ca="1" si="62"/>
        <v>South</v>
      </c>
      <c r="E369" s="2" t="str">
        <f t="shared" ca="1" si="63"/>
        <v>Punjab</v>
      </c>
      <c r="F369" s="2" t="str">
        <f t="shared" ca="1" si="64"/>
        <v>Customer Support</v>
      </c>
      <c r="G369" s="2" t="str">
        <f t="shared" ca="1" si="65"/>
        <v>Analyst</v>
      </c>
      <c r="H369" s="2" t="str">
        <f t="shared" ca="1" si="66"/>
        <v>Clothing</v>
      </c>
      <c r="I369" s="2">
        <f t="shared" ca="1" si="67"/>
        <v>6</v>
      </c>
      <c r="J369" s="2">
        <f t="shared" ca="1" si="68"/>
        <v>5046</v>
      </c>
      <c r="K369" s="2">
        <f t="shared" ca="1" si="69"/>
        <v>1211.04</v>
      </c>
      <c r="L369" s="2">
        <f t="shared" ca="1" si="70"/>
        <v>28163</v>
      </c>
      <c r="M369" s="2" t="str">
        <f t="shared" ca="1" si="71"/>
        <v>No</v>
      </c>
    </row>
    <row r="370" spans="1:13" x14ac:dyDescent="0.25">
      <c r="A370" s="2" t="str">
        <f t="shared" si="60"/>
        <v>E369</v>
      </c>
      <c r="B370" s="2" t="s">
        <v>238</v>
      </c>
      <c r="C370" s="2" t="str">
        <f t="shared" ca="1" si="61"/>
        <v>Jul</v>
      </c>
      <c r="D370" s="2" t="str">
        <f t="shared" ca="1" si="62"/>
        <v>East</v>
      </c>
      <c r="E370" s="2" t="str">
        <f t="shared" ca="1" si="63"/>
        <v>Punjab</v>
      </c>
      <c r="F370" s="2" t="str">
        <f t="shared" ca="1" si="64"/>
        <v>Marketing</v>
      </c>
      <c r="G370" s="2" t="str">
        <f t="shared" ca="1" si="65"/>
        <v>Analyst</v>
      </c>
      <c r="H370" s="2" t="str">
        <f t="shared" ca="1" si="66"/>
        <v>Clothing</v>
      </c>
      <c r="I370" s="2">
        <f t="shared" ca="1" si="67"/>
        <v>12</v>
      </c>
      <c r="J370" s="2">
        <f t="shared" ca="1" si="68"/>
        <v>11652</v>
      </c>
      <c r="K370" s="2">
        <f t="shared" ca="1" si="69"/>
        <v>582.6</v>
      </c>
      <c r="L370" s="2">
        <f t="shared" ca="1" si="70"/>
        <v>25664</v>
      </c>
      <c r="M370" s="2" t="str">
        <f t="shared" ca="1" si="71"/>
        <v>No</v>
      </c>
    </row>
    <row r="371" spans="1:13" x14ac:dyDescent="0.25">
      <c r="A371" s="2" t="str">
        <f t="shared" si="60"/>
        <v>E370</v>
      </c>
      <c r="B371" s="2" t="s">
        <v>51</v>
      </c>
      <c r="C371" s="2" t="str">
        <f t="shared" ca="1" si="61"/>
        <v>May</v>
      </c>
      <c r="D371" s="2" t="str">
        <f t="shared" ca="1" si="62"/>
        <v>East</v>
      </c>
      <c r="E371" s="2" t="str">
        <f t="shared" ca="1" si="63"/>
        <v>Punjab</v>
      </c>
      <c r="F371" s="2" t="str">
        <f t="shared" ca="1" si="64"/>
        <v>HR</v>
      </c>
      <c r="G371" s="2" t="str">
        <f t="shared" ca="1" si="65"/>
        <v>Analyst</v>
      </c>
      <c r="H371" s="2" t="str">
        <f t="shared" ca="1" si="66"/>
        <v>Books</v>
      </c>
      <c r="I371" s="2">
        <f t="shared" ca="1" si="67"/>
        <v>9</v>
      </c>
      <c r="J371" s="2">
        <f t="shared" ca="1" si="68"/>
        <v>6741</v>
      </c>
      <c r="K371" s="2">
        <f t="shared" ca="1" si="69"/>
        <v>1550.43</v>
      </c>
      <c r="L371" s="2">
        <f t="shared" ca="1" si="70"/>
        <v>24211</v>
      </c>
      <c r="M371" s="2" t="str">
        <f t="shared" ca="1" si="71"/>
        <v>No</v>
      </c>
    </row>
    <row r="372" spans="1:13" x14ac:dyDescent="0.25">
      <c r="A372" s="2" t="str">
        <f t="shared" si="60"/>
        <v>E371</v>
      </c>
      <c r="B372" s="2" t="s">
        <v>33</v>
      </c>
      <c r="C372" s="2" t="str">
        <f t="shared" ca="1" si="61"/>
        <v>Apr</v>
      </c>
      <c r="D372" s="2" t="str">
        <f t="shared" ca="1" si="62"/>
        <v>West</v>
      </c>
      <c r="E372" s="2" t="str">
        <f t="shared" ca="1" si="63"/>
        <v>West Bengal</v>
      </c>
      <c r="F372" s="2" t="str">
        <f t="shared" ca="1" si="64"/>
        <v>Operations</v>
      </c>
      <c r="G372" s="2" t="str">
        <f t="shared" ca="1" si="65"/>
        <v>Executive</v>
      </c>
      <c r="H372" s="2" t="str">
        <f t="shared" ca="1" si="66"/>
        <v>Clothing</v>
      </c>
      <c r="I372" s="2">
        <f t="shared" ca="1" si="67"/>
        <v>29</v>
      </c>
      <c r="J372" s="2">
        <f t="shared" ca="1" si="68"/>
        <v>23258</v>
      </c>
      <c r="K372" s="2">
        <f t="shared" ca="1" si="69"/>
        <v>-232.58</v>
      </c>
      <c r="L372" s="2">
        <f t="shared" ca="1" si="70"/>
        <v>27426</v>
      </c>
      <c r="M372" s="2" t="str">
        <f t="shared" ca="1" si="71"/>
        <v>No</v>
      </c>
    </row>
    <row r="373" spans="1:13" x14ac:dyDescent="0.25">
      <c r="A373" s="2" t="str">
        <f t="shared" si="60"/>
        <v>E372</v>
      </c>
      <c r="B373" s="2" t="s">
        <v>342</v>
      </c>
      <c r="C373" s="2" t="str">
        <f t="shared" ca="1" si="61"/>
        <v>Apr</v>
      </c>
      <c r="D373" s="2" t="str">
        <f t="shared" ca="1" si="62"/>
        <v>North</v>
      </c>
      <c r="E373" s="2" t="str">
        <f t="shared" ca="1" si="63"/>
        <v>Punjab</v>
      </c>
      <c r="F373" s="2" t="str">
        <f t="shared" ca="1" si="64"/>
        <v>Customer Support</v>
      </c>
      <c r="G373" s="2" t="str">
        <f t="shared" ca="1" si="65"/>
        <v>Executive</v>
      </c>
      <c r="H373" s="2" t="str">
        <f t="shared" ca="1" si="66"/>
        <v>Shoes</v>
      </c>
      <c r="I373" s="2">
        <f t="shared" ca="1" si="67"/>
        <v>10</v>
      </c>
      <c r="J373" s="2">
        <f t="shared" ca="1" si="68"/>
        <v>2320</v>
      </c>
      <c r="K373" s="2">
        <f t="shared" ca="1" si="69"/>
        <v>394.4</v>
      </c>
      <c r="L373" s="2">
        <f t="shared" ca="1" si="70"/>
        <v>28169</v>
      </c>
      <c r="M373" s="2" t="str">
        <f t="shared" ca="1" si="71"/>
        <v>No</v>
      </c>
    </row>
    <row r="374" spans="1:13" x14ac:dyDescent="0.25">
      <c r="A374" s="2" t="str">
        <f t="shared" si="60"/>
        <v>E373</v>
      </c>
      <c r="B374" s="2" t="s">
        <v>343</v>
      </c>
      <c r="C374" s="2" t="str">
        <f t="shared" ca="1" si="61"/>
        <v>Dec</v>
      </c>
      <c r="D374" s="2" t="str">
        <f t="shared" ca="1" si="62"/>
        <v>South</v>
      </c>
      <c r="E374" s="2" t="str">
        <f t="shared" ca="1" si="63"/>
        <v>Madhya Pradesh</v>
      </c>
      <c r="F374" s="2" t="str">
        <f t="shared" ca="1" si="64"/>
        <v>HR</v>
      </c>
      <c r="G374" s="2" t="str">
        <f t="shared" ca="1" si="65"/>
        <v>Analyst</v>
      </c>
      <c r="H374" s="2" t="str">
        <f t="shared" ca="1" si="66"/>
        <v>Clothing</v>
      </c>
      <c r="I374" s="2">
        <f t="shared" ca="1" si="67"/>
        <v>43</v>
      </c>
      <c r="J374" s="2">
        <f t="shared" ca="1" si="68"/>
        <v>18404</v>
      </c>
      <c r="K374" s="2">
        <f t="shared" ca="1" si="69"/>
        <v>-368.08</v>
      </c>
      <c r="L374" s="2">
        <f t="shared" ca="1" si="70"/>
        <v>30874</v>
      </c>
      <c r="M374" s="2" t="str">
        <f t="shared" ca="1" si="71"/>
        <v>No</v>
      </c>
    </row>
    <row r="375" spans="1:13" x14ac:dyDescent="0.25">
      <c r="A375" s="2" t="str">
        <f t="shared" si="60"/>
        <v>E374</v>
      </c>
      <c r="B375" s="2" t="s">
        <v>344</v>
      </c>
      <c r="C375" s="2" t="str">
        <f t="shared" ca="1" si="61"/>
        <v>Feb</v>
      </c>
      <c r="D375" s="2" t="str">
        <f t="shared" ca="1" si="62"/>
        <v>West</v>
      </c>
      <c r="E375" s="2" t="str">
        <f t="shared" ca="1" si="63"/>
        <v>Gujarat</v>
      </c>
      <c r="F375" s="2" t="str">
        <f t="shared" ca="1" si="64"/>
        <v>Marketing</v>
      </c>
      <c r="G375" s="2" t="str">
        <f t="shared" ca="1" si="65"/>
        <v>Analyst</v>
      </c>
      <c r="H375" s="2" t="str">
        <f t="shared" ca="1" si="66"/>
        <v>Clothing</v>
      </c>
      <c r="I375" s="2">
        <f t="shared" ca="1" si="67"/>
        <v>91</v>
      </c>
      <c r="J375" s="2">
        <f t="shared" ca="1" si="68"/>
        <v>83993</v>
      </c>
      <c r="K375" s="2">
        <f t="shared" ca="1" si="69"/>
        <v>20998.25</v>
      </c>
      <c r="L375" s="2">
        <f t="shared" ca="1" si="70"/>
        <v>11048</v>
      </c>
      <c r="M375" s="2" t="str">
        <f t="shared" ca="1" si="71"/>
        <v>Yes</v>
      </c>
    </row>
    <row r="376" spans="1:13" x14ac:dyDescent="0.25">
      <c r="A376" s="2" t="str">
        <f t="shared" si="60"/>
        <v>E375</v>
      </c>
      <c r="B376" s="2" t="s">
        <v>345</v>
      </c>
      <c r="C376" s="2" t="str">
        <f t="shared" ca="1" si="61"/>
        <v>Dec</v>
      </c>
      <c r="D376" s="2" t="str">
        <f t="shared" ca="1" si="62"/>
        <v>North</v>
      </c>
      <c r="E376" s="2" t="str">
        <f t="shared" ca="1" si="63"/>
        <v>Madhya Pradesh</v>
      </c>
      <c r="F376" s="2" t="str">
        <f t="shared" ca="1" si="64"/>
        <v>Operations</v>
      </c>
      <c r="G376" s="2" t="str">
        <f t="shared" ca="1" si="65"/>
        <v>Analyst</v>
      </c>
      <c r="H376" s="2" t="str">
        <f t="shared" ca="1" si="66"/>
        <v>Electronics</v>
      </c>
      <c r="I376" s="2">
        <f t="shared" ca="1" si="67"/>
        <v>74</v>
      </c>
      <c r="J376" s="2">
        <f t="shared" ca="1" si="68"/>
        <v>31154</v>
      </c>
      <c r="K376" s="2">
        <f t="shared" ca="1" si="69"/>
        <v>2803.86</v>
      </c>
      <c r="L376" s="2">
        <f t="shared" ca="1" si="70"/>
        <v>38318</v>
      </c>
      <c r="M376" s="2" t="str">
        <f t="shared" ca="1" si="71"/>
        <v>No</v>
      </c>
    </row>
    <row r="377" spans="1:13" x14ac:dyDescent="0.25">
      <c r="A377" s="2" t="str">
        <f t="shared" si="60"/>
        <v>E376</v>
      </c>
      <c r="B377" s="2" t="s">
        <v>10</v>
      </c>
      <c r="C377" s="2" t="str">
        <f t="shared" ca="1" si="61"/>
        <v>Mar</v>
      </c>
      <c r="D377" s="2" t="str">
        <f t="shared" ca="1" si="62"/>
        <v>North</v>
      </c>
      <c r="E377" s="2" t="str">
        <f t="shared" ca="1" si="63"/>
        <v>Madhya Pradesh</v>
      </c>
      <c r="F377" s="2" t="str">
        <f t="shared" ca="1" si="64"/>
        <v>Operations</v>
      </c>
      <c r="G377" s="2" t="str">
        <f t="shared" ca="1" si="65"/>
        <v>Specialist</v>
      </c>
      <c r="H377" s="2" t="str">
        <f t="shared" ca="1" si="66"/>
        <v>Electronics</v>
      </c>
      <c r="I377" s="2">
        <f t="shared" ca="1" si="67"/>
        <v>21</v>
      </c>
      <c r="J377" s="2">
        <f t="shared" ca="1" si="68"/>
        <v>8694</v>
      </c>
      <c r="K377" s="2">
        <f t="shared" ca="1" si="69"/>
        <v>956.34</v>
      </c>
      <c r="L377" s="2">
        <f t="shared" ca="1" si="70"/>
        <v>13250</v>
      </c>
      <c r="M377" s="2" t="str">
        <f t="shared" ca="1" si="71"/>
        <v>No</v>
      </c>
    </row>
    <row r="378" spans="1:13" x14ac:dyDescent="0.25">
      <c r="A378" s="2" t="str">
        <f t="shared" si="60"/>
        <v>E377</v>
      </c>
      <c r="B378" s="2" t="s">
        <v>346</v>
      </c>
      <c r="C378" s="2" t="str">
        <f t="shared" ca="1" si="61"/>
        <v>Aug</v>
      </c>
      <c r="D378" s="2" t="str">
        <f t="shared" ca="1" si="62"/>
        <v>South</v>
      </c>
      <c r="E378" s="2" t="str">
        <f t="shared" ca="1" si="63"/>
        <v>Tamil Nadu</v>
      </c>
      <c r="F378" s="2" t="str">
        <f t="shared" ca="1" si="64"/>
        <v>Finance</v>
      </c>
      <c r="G378" s="2" t="str">
        <f t="shared" ca="1" si="65"/>
        <v>Executive</v>
      </c>
      <c r="H378" s="2" t="str">
        <f t="shared" ca="1" si="66"/>
        <v>Clothing</v>
      </c>
      <c r="I378" s="2">
        <f t="shared" ca="1" si="67"/>
        <v>12</v>
      </c>
      <c r="J378" s="2">
        <f t="shared" ca="1" si="68"/>
        <v>8688</v>
      </c>
      <c r="K378" s="2">
        <f t="shared" ca="1" si="69"/>
        <v>955.68</v>
      </c>
      <c r="L378" s="2">
        <f t="shared" ca="1" si="70"/>
        <v>24880</v>
      </c>
      <c r="M378" s="2" t="str">
        <f t="shared" ca="1" si="71"/>
        <v>No</v>
      </c>
    </row>
    <row r="379" spans="1:13" x14ac:dyDescent="0.25">
      <c r="A379" s="2" t="str">
        <f t="shared" si="60"/>
        <v>E378</v>
      </c>
      <c r="B379" s="2" t="s">
        <v>43</v>
      </c>
      <c r="C379" s="2" t="str">
        <f t="shared" ca="1" si="61"/>
        <v>Feb</v>
      </c>
      <c r="D379" s="2" t="str">
        <f t="shared" ca="1" si="62"/>
        <v>North</v>
      </c>
      <c r="E379" s="2" t="str">
        <f t="shared" ca="1" si="63"/>
        <v>Madhya Pradesh</v>
      </c>
      <c r="F379" s="2" t="str">
        <f t="shared" ca="1" si="64"/>
        <v>Sales</v>
      </c>
      <c r="G379" s="2" t="str">
        <f t="shared" ca="1" si="65"/>
        <v>Analyst</v>
      </c>
      <c r="H379" s="2" t="str">
        <f t="shared" ca="1" si="66"/>
        <v>Shoes</v>
      </c>
      <c r="I379" s="2">
        <f t="shared" ca="1" si="67"/>
        <v>63</v>
      </c>
      <c r="J379" s="2">
        <f t="shared" ca="1" si="68"/>
        <v>61551</v>
      </c>
      <c r="K379" s="2">
        <f t="shared" ca="1" si="69"/>
        <v>14156.73</v>
      </c>
      <c r="L379" s="2">
        <f t="shared" ca="1" si="70"/>
        <v>29996</v>
      </c>
      <c r="M379" s="2" t="str">
        <f t="shared" ca="1" si="71"/>
        <v>Yes</v>
      </c>
    </row>
    <row r="380" spans="1:13" x14ac:dyDescent="0.25">
      <c r="A380" s="2" t="str">
        <f t="shared" si="60"/>
        <v>E379</v>
      </c>
      <c r="B380" s="2" t="s">
        <v>347</v>
      </c>
      <c r="C380" s="2" t="str">
        <f t="shared" ca="1" si="61"/>
        <v>Jun</v>
      </c>
      <c r="D380" s="2" t="str">
        <f t="shared" ca="1" si="62"/>
        <v>North</v>
      </c>
      <c r="E380" s="2" t="str">
        <f t="shared" ca="1" si="63"/>
        <v>Madhya Pradesh</v>
      </c>
      <c r="F380" s="2" t="str">
        <f t="shared" ca="1" si="64"/>
        <v>Marketing</v>
      </c>
      <c r="G380" s="2" t="str">
        <f t="shared" ca="1" si="65"/>
        <v>Supervisor</v>
      </c>
      <c r="H380" s="2" t="str">
        <f t="shared" ca="1" si="66"/>
        <v>Books</v>
      </c>
      <c r="I380" s="2">
        <f t="shared" ca="1" si="67"/>
        <v>51</v>
      </c>
      <c r="J380" s="2">
        <f t="shared" ca="1" si="68"/>
        <v>49776</v>
      </c>
      <c r="K380" s="2">
        <f t="shared" ca="1" si="69"/>
        <v>9955.2000000000007</v>
      </c>
      <c r="L380" s="2">
        <f t="shared" ca="1" si="70"/>
        <v>37034</v>
      </c>
      <c r="M380" s="2" t="str">
        <f t="shared" ca="1" si="71"/>
        <v>Yes</v>
      </c>
    </row>
    <row r="381" spans="1:13" x14ac:dyDescent="0.25">
      <c r="A381" s="2" t="str">
        <f t="shared" si="60"/>
        <v>E380</v>
      </c>
      <c r="B381" s="2" t="s">
        <v>348</v>
      </c>
      <c r="C381" s="2" t="str">
        <f t="shared" ca="1" si="61"/>
        <v>Aug</v>
      </c>
      <c r="D381" s="2" t="str">
        <f t="shared" ca="1" si="62"/>
        <v>West</v>
      </c>
      <c r="E381" s="2" t="str">
        <f t="shared" ca="1" si="63"/>
        <v>Delhi</v>
      </c>
      <c r="F381" s="2" t="str">
        <f t="shared" ca="1" si="64"/>
        <v>Customer Support</v>
      </c>
      <c r="G381" s="2" t="str">
        <f t="shared" ca="1" si="65"/>
        <v>Supervisor</v>
      </c>
      <c r="H381" s="2" t="str">
        <f t="shared" ca="1" si="66"/>
        <v>Shoes</v>
      </c>
      <c r="I381" s="2">
        <f t="shared" ca="1" si="67"/>
        <v>59</v>
      </c>
      <c r="J381" s="2">
        <f t="shared" ca="1" si="68"/>
        <v>43188</v>
      </c>
      <c r="K381" s="2">
        <f t="shared" ca="1" si="69"/>
        <v>10365.120000000001</v>
      </c>
      <c r="L381" s="2">
        <f t="shared" ca="1" si="70"/>
        <v>42196</v>
      </c>
      <c r="M381" s="2" t="str">
        <f t="shared" ca="1" si="71"/>
        <v>Yes</v>
      </c>
    </row>
    <row r="382" spans="1:13" x14ac:dyDescent="0.25">
      <c r="A382" s="2" t="str">
        <f t="shared" si="60"/>
        <v>E381</v>
      </c>
      <c r="B382" s="2" t="s">
        <v>349</v>
      </c>
      <c r="C382" s="2" t="str">
        <f t="shared" ca="1" si="61"/>
        <v>May</v>
      </c>
      <c r="D382" s="2" t="str">
        <f t="shared" ca="1" si="62"/>
        <v>West</v>
      </c>
      <c r="E382" s="2" t="str">
        <f t="shared" ca="1" si="63"/>
        <v>Madhya Pradesh</v>
      </c>
      <c r="F382" s="2" t="str">
        <f t="shared" ca="1" si="64"/>
        <v>HR</v>
      </c>
      <c r="G382" s="2" t="str">
        <f t="shared" ca="1" si="65"/>
        <v>Specialist</v>
      </c>
      <c r="H382" s="2" t="str">
        <f t="shared" ca="1" si="66"/>
        <v>Books</v>
      </c>
      <c r="I382" s="2">
        <f t="shared" ca="1" si="67"/>
        <v>7</v>
      </c>
      <c r="J382" s="2">
        <f t="shared" ca="1" si="68"/>
        <v>3213</v>
      </c>
      <c r="K382" s="2">
        <f t="shared" ca="1" si="69"/>
        <v>-224.91</v>
      </c>
      <c r="L382" s="2">
        <f t="shared" ca="1" si="70"/>
        <v>22357</v>
      </c>
      <c r="M382" s="2" t="str">
        <f t="shared" ca="1" si="71"/>
        <v>No</v>
      </c>
    </row>
    <row r="383" spans="1:13" x14ac:dyDescent="0.25">
      <c r="A383" s="2" t="str">
        <f t="shared" si="60"/>
        <v>E382</v>
      </c>
      <c r="B383" s="2" t="s">
        <v>350</v>
      </c>
      <c r="C383" s="2" t="str">
        <f t="shared" ca="1" si="61"/>
        <v>Nov</v>
      </c>
      <c r="D383" s="2" t="str">
        <f t="shared" ca="1" si="62"/>
        <v>South</v>
      </c>
      <c r="E383" s="2" t="str">
        <f t="shared" ca="1" si="63"/>
        <v>Madhya Pradesh</v>
      </c>
      <c r="F383" s="2" t="str">
        <f t="shared" ca="1" si="64"/>
        <v>Finance</v>
      </c>
      <c r="G383" s="2" t="str">
        <f t="shared" ca="1" si="65"/>
        <v>Executive</v>
      </c>
      <c r="H383" s="2" t="str">
        <f t="shared" ca="1" si="66"/>
        <v>Books</v>
      </c>
      <c r="I383" s="2">
        <f t="shared" ca="1" si="67"/>
        <v>43</v>
      </c>
      <c r="J383" s="2">
        <f t="shared" ca="1" si="68"/>
        <v>10793</v>
      </c>
      <c r="K383" s="2">
        <f t="shared" ca="1" si="69"/>
        <v>1726.88</v>
      </c>
      <c r="L383" s="2">
        <f t="shared" ca="1" si="70"/>
        <v>17451</v>
      </c>
      <c r="M383" s="2" t="str">
        <f t="shared" ca="1" si="71"/>
        <v>No</v>
      </c>
    </row>
    <row r="384" spans="1:13" x14ac:dyDescent="0.25">
      <c r="A384" s="2" t="str">
        <f t="shared" si="60"/>
        <v>E383</v>
      </c>
      <c r="B384" s="2" t="s">
        <v>44</v>
      </c>
      <c r="C384" s="2" t="str">
        <f t="shared" ca="1" si="61"/>
        <v>Feb</v>
      </c>
      <c r="D384" s="2" t="str">
        <f t="shared" ca="1" si="62"/>
        <v>West</v>
      </c>
      <c r="E384" s="2" t="str">
        <f t="shared" ca="1" si="63"/>
        <v>Delhi</v>
      </c>
      <c r="F384" s="2" t="str">
        <f t="shared" ca="1" si="64"/>
        <v>Finance</v>
      </c>
      <c r="G384" s="2" t="str">
        <f t="shared" ca="1" si="65"/>
        <v>Analyst</v>
      </c>
      <c r="H384" s="2" t="str">
        <f t="shared" ca="1" si="66"/>
        <v>Books</v>
      </c>
      <c r="I384" s="2">
        <f t="shared" ca="1" si="67"/>
        <v>29</v>
      </c>
      <c r="J384" s="2">
        <f t="shared" ca="1" si="68"/>
        <v>11600</v>
      </c>
      <c r="K384" s="2">
        <f t="shared" ca="1" si="69"/>
        <v>1392</v>
      </c>
      <c r="L384" s="2">
        <f t="shared" ca="1" si="70"/>
        <v>46585</v>
      </c>
      <c r="M384" s="2" t="str">
        <f t="shared" ca="1" si="71"/>
        <v>No</v>
      </c>
    </row>
    <row r="385" spans="1:13" x14ac:dyDescent="0.25">
      <c r="A385" s="2" t="str">
        <f t="shared" si="60"/>
        <v>E384</v>
      </c>
      <c r="B385" s="2" t="s">
        <v>351</v>
      </c>
      <c r="C385" s="2" t="str">
        <f t="shared" ca="1" si="61"/>
        <v>Jun</v>
      </c>
      <c r="D385" s="2" t="str">
        <f t="shared" ca="1" si="62"/>
        <v>North</v>
      </c>
      <c r="E385" s="2" t="str">
        <f t="shared" ca="1" si="63"/>
        <v>Punjab</v>
      </c>
      <c r="F385" s="2" t="str">
        <f t="shared" ca="1" si="64"/>
        <v>HR</v>
      </c>
      <c r="G385" s="2" t="str">
        <f t="shared" ca="1" si="65"/>
        <v>Supervisor</v>
      </c>
      <c r="H385" s="2" t="str">
        <f t="shared" ca="1" si="66"/>
        <v>Electronics</v>
      </c>
      <c r="I385" s="2">
        <f t="shared" ca="1" si="67"/>
        <v>74</v>
      </c>
      <c r="J385" s="2">
        <f t="shared" ca="1" si="68"/>
        <v>61050</v>
      </c>
      <c r="K385" s="2">
        <f t="shared" ca="1" si="69"/>
        <v>7936.5</v>
      </c>
      <c r="L385" s="2">
        <f t="shared" ca="1" si="70"/>
        <v>36917</v>
      </c>
      <c r="M385" s="2" t="str">
        <f t="shared" ca="1" si="71"/>
        <v>Yes</v>
      </c>
    </row>
    <row r="386" spans="1:13" x14ac:dyDescent="0.25">
      <c r="A386" s="2" t="str">
        <f t="shared" si="60"/>
        <v>E385</v>
      </c>
      <c r="B386" s="2" t="s">
        <v>352</v>
      </c>
      <c r="C386" s="2" t="str">
        <f t="shared" ca="1" si="61"/>
        <v>Apr</v>
      </c>
      <c r="D386" s="2" t="str">
        <f t="shared" ca="1" si="62"/>
        <v>East</v>
      </c>
      <c r="E386" s="2" t="str">
        <f t="shared" ca="1" si="63"/>
        <v>West Bengal</v>
      </c>
      <c r="F386" s="2" t="str">
        <f t="shared" ca="1" si="64"/>
        <v>HR</v>
      </c>
      <c r="G386" s="2" t="str">
        <f t="shared" ca="1" si="65"/>
        <v>Executive</v>
      </c>
      <c r="H386" s="2" t="str">
        <f t="shared" ca="1" si="66"/>
        <v>Clothing</v>
      </c>
      <c r="I386" s="2">
        <f t="shared" ca="1" si="67"/>
        <v>93</v>
      </c>
      <c r="J386" s="2">
        <f t="shared" ca="1" si="68"/>
        <v>70773</v>
      </c>
      <c r="K386" s="2">
        <f t="shared" ca="1" si="69"/>
        <v>16277.79</v>
      </c>
      <c r="L386" s="2">
        <f t="shared" ca="1" si="70"/>
        <v>46094</v>
      </c>
      <c r="M386" s="2" t="str">
        <f t="shared" ca="1" si="71"/>
        <v>Yes</v>
      </c>
    </row>
    <row r="387" spans="1:13" x14ac:dyDescent="0.25">
      <c r="A387" s="2" t="str">
        <f t="shared" ref="A387:A450" si="72">"E"&amp;TEXT(ROW(A386),"000")</f>
        <v>E386</v>
      </c>
      <c r="B387" s="2" t="s">
        <v>353</v>
      </c>
      <c r="C387" s="2" t="str">
        <f t="shared" ref="C387:C450" ca="1" si="73">CHOOSE(RANDBETWEEN(1,12),"Jan","Feb","Mar","Apr","May","Jun","Jul","Aug","Sep","Oct","Nov","Dec")</f>
        <v>Mar</v>
      </c>
      <c r="D387" s="2" t="str">
        <f t="shared" ref="D387:D450" ca="1" si="74">CHOOSE(RANDBETWEEN(1,4),"North","South","East","West")</f>
        <v>West</v>
      </c>
      <c r="E387" s="2" t="str">
        <f t="shared" ref="E387:E450" ca="1" si="75">CHOOSE(RANDBETWEEN(1,6),"Punjab","Gujarat","Tamil Nadu","Madhya Pradesh","Delhi","West Bengal")</f>
        <v>Tamil Nadu</v>
      </c>
      <c r="F387" s="2" t="str">
        <f t="shared" ref="F387:F450" ca="1" si="76">CHOOSE(RANDBETWEEN(1,6),"Sales","Marketing","Finance","Operations","HR","Customer Support")</f>
        <v>Finance</v>
      </c>
      <c r="G387" s="2" t="str">
        <f t="shared" ref="G387:G450" ca="1" si="77">CHOOSE(RANDBETWEEN(1,4),"Analyst","Executive","Supervisor","Specialist")</f>
        <v>Analyst</v>
      </c>
      <c r="H387" s="2" t="str">
        <f t="shared" ref="H387:H450" ca="1" si="78">CHOOSE(RANDBETWEEN(1,4),"Clothing","Shoes","Electronics","Books")</f>
        <v>Electronics</v>
      </c>
      <c r="I387" s="2">
        <f t="shared" ref="I387:I450" ca="1" si="79">RANDBETWEEN(5,100)</f>
        <v>82</v>
      </c>
      <c r="J387" s="2">
        <f t="shared" ref="J387:J450" ca="1" si="80">I387*RANDBETWEEN(200,1000)</f>
        <v>27962</v>
      </c>
      <c r="K387" s="2">
        <f t="shared" ref="K387:K450" ca="1" si="81">J387*RANDBETWEEN(-10,30)/100</f>
        <v>1118.48</v>
      </c>
      <c r="L387" s="2">
        <f t="shared" ref="L387:L450" ca="1" si="82">RANDBETWEEN(10000,50000)</f>
        <v>28909</v>
      </c>
      <c r="M387" s="2" t="str">
        <f t="shared" ref="M387:M450" ca="1" si="83">IF(J387&gt;=L387,"Yes","No")</f>
        <v>No</v>
      </c>
    </row>
    <row r="388" spans="1:13" x14ac:dyDescent="0.25">
      <c r="A388" s="2" t="str">
        <f t="shared" si="72"/>
        <v>E387</v>
      </c>
      <c r="B388" s="2" t="s">
        <v>354</v>
      </c>
      <c r="C388" s="2" t="str">
        <f t="shared" ca="1" si="73"/>
        <v>Aug</v>
      </c>
      <c r="D388" s="2" t="str">
        <f t="shared" ca="1" si="74"/>
        <v>South</v>
      </c>
      <c r="E388" s="2" t="str">
        <f t="shared" ca="1" si="75"/>
        <v>West Bengal</v>
      </c>
      <c r="F388" s="2" t="str">
        <f t="shared" ca="1" si="76"/>
        <v>Marketing</v>
      </c>
      <c r="G388" s="2" t="str">
        <f t="shared" ca="1" si="77"/>
        <v>Specialist</v>
      </c>
      <c r="H388" s="2" t="str">
        <f t="shared" ca="1" si="78"/>
        <v>Clothing</v>
      </c>
      <c r="I388" s="2">
        <f t="shared" ca="1" si="79"/>
        <v>39</v>
      </c>
      <c r="J388" s="2">
        <f t="shared" ca="1" si="80"/>
        <v>31629</v>
      </c>
      <c r="K388" s="2">
        <f t="shared" ca="1" si="81"/>
        <v>948.87</v>
      </c>
      <c r="L388" s="2">
        <f t="shared" ca="1" si="82"/>
        <v>41791</v>
      </c>
      <c r="M388" s="2" t="str">
        <f t="shared" ca="1" si="83"/>
        <v>No</v>
      </c>
    </row>
    <row r="389" spans="1:13" x14ac:dyDescent="0.25">
      <c r="A389" s="2" t="str">
        <f t="shared" si="72"/>
        <v>E388</v>
      </c>
      <c r="B389" s="2" t="s">
        <v>355</v>
      </c>
      <c r="C389" s="2" t="str">
        <f t="shared" ca="1" si="73"/>
        <v>Jan</v>
      </c>
      <c r="D389" s="2" t="str">
        <f t="shared" ca="1" si="74"/>
        <v>West</v>
      </c>
      <c r="E389" s="2" t="str">
        <f t="shared" ca="1" si="75"/>
        <v>Delhi</v>
      </c>
      <c r="F389" s="2" t="str">
        <f t="shared" ca="1" si="76"/>
        <v>Finance</v>
      </c>
      <c r="G389" s="2" t="str">
        <f t="shared" ca="1" si="77"/>
        <v>Executive</v>
      </c>
      <c r="H389" s="2" t="str">
        <f t="shared" ca="1" si="78"/>
        <v>Books</v>
      </c>
      <c r="I389" s="2">
        <f t="shared" ca="1" si="79"/>
        <v>7</v>
      </c>
      <c r="J389" s="2">
        <f t="shared" ca="1" si="80"/>
        <v>4235</v>
      </c>
      <c r="K389" s="2">
        <f t="shared" ca="1" si="81"/>
        <v>296.45</v>
      </c>
      <c r="L389" s="2">
        <f t="shared" ca="1" si="82"/>
        <v>44900</v>
      </c>
      <c r="M389" s="2" t="str">
        <f t="shared" ca="1" si="83"/>
        <v>No</v>
      </c>
    </row>
    <row r="390" spans="1:13" x14ac:dyDescent="0.25">
      <c r="A390" s="2" t="str">
        <f t="shared" si="72"/>
        <v>E389</v>
      </c>
      <c r="B390" s="2" t="s">
        <v>300</v>
      </c>
      <c r="C390" s="2" t="str">
        <f t="shared" ca="1" si="73"/>
        <v>Jan</v>
      </c>
      <c r="D390" s="2" t="str">
        <f t="shared" ca="1" si="74"/>
        <v>West</v>
      </c>
      <c r="E390" s="2" t="str">
        <f t="shared" ca="1" si="75"/>
        <v>Punjab</v>
      </c>
      <c r="F390" s="2" t="str">
        <f t="shared" ca="1" si="76"/>
        <v>HR</v>
      </c>
      <c r="G390" s="2" t="str">
        <f t="shared" ca="1" si="77"/>
        <v>Specialist</v>
      </c>
      <c r="H390" s="2" t="str">
        <f t="shared" ca="1" si="78"/>
        <v>Shoes</v>
      </c>
      <c r="I390" s="2">
        <f t="shared" ca="1" si="79"/>
        <v>11</v>
      </c>
      <c r="J390" s="2">
        <f t="shared" ca="1" si="80"/>
        <v>6633</v>
      </c>
      <c r="K390" s="2">
        <f t="shared" ca="1" si="81"/>
        <v>-132.66</v>
      </c>
      <c r="L390" s="2">
        <f t="shared" ca="1" si="82"/>
        <v>27982</v>
      </c>
      <c r="M390" s="2" t="str">
        <f t="shared" ca="1" si="83"/>
        <v>No</v>
      </c>
    </row>
    <row r="391" spans="1:13" x14ac:dyDescent="0.25">
      <c r="A391" s="2" t="str">
        <f t="shared" si="72"/>
        <v>E390</v>
      </c>
      <c r="B391" s="2" t="s">
        <v>356</v>
      </c>
      <c r="C391" s="2" t="str">
        <f t="shared" ca="1" si="73"/>
        <v>Oct</v>
      </c>
      <c r="D391" s="2" t="str">
        <f t="shared" ca="1" si="74"/>
        <v>South</v>
      </c>
      <c r="E391" s="2" t="str">
        <f t="shared" ca="1" si="75"/>
        <v>West Bengal</v>
      </c>
      <c r="F391" s="2" t="str">
        <f t="shared" ca="1" si="76"/>
        <v>Marketing</v>
      </c>
      <c r="G391" s="2" t="str">
        <f t="shared" ca="1" si="77"/>
        <v>Specialist</v>
      </c>
      <c r="H391" s="2" t="str">
        <f t="shared" ca="1" si="78"/>
        <v>Electronics</v>
      </c>
      <c r="I391" s="2">
        <f t="shared" ca="1" si="79"/>
        <v>22</v>
      </c>
      <c r="J391" s="2">
        <f t="shared" ca="1" si="80"/>
        <v>7986</v>
      </c>
      <c r="K391" s="2">
        <f t="shared" ca="1" si="81"/>
        <v>79.86</v>
      </c>
      <c r="L391" s="2">
        <f t="shared" ca="1" si="82"/>
        <v>45480</v>
      </c>
      <c r="M391" s="2" t="str">
        <f t="shared" ca="1" si="83"/>
        <v>No</v>
      </c>
    </row>
    <row r="392" spans="1:13" x14ac:dyDescent="0.25">
      <c r="A392" s="2" t="str">
        <f t="shared" si="72"/>
        <v>E391</v>
      </c>
      <c r="B392" s="2" t="s">
        <v>83</v>
      </c>
      <c r="C392" s="2" t="str">
        <f t="shared" ca="1" si="73"/>
        <v>Feb</v>
      </c>
      <c r="D392" s="2" t="str">
        <f t="shared" ca="1" si="74"/>
        <v>East</v>
      </c>
      <c r="E392" s="2" t="str">
        <f t="shared" ca="1" si="75"/>
        <v>Tamil Nadu</v>
      </c>
      <c r="F392" s="2" t="str">
        <f t="shared" ca="1" si="76"/>
        <v>Operations</v>
      </c>
      <c r="G392" s="2" t="str">
        <f t="shared" ca="1" si="77"/>
        <v>Executive</v>
      </c>
      <c r="H392" s="2" t="str">
        <f t="shared" ca="1" si="78"/>
        <v>Books</v>
      </c>
      <c r="I392" s="2">
        <f t="shared" ca="1" si="79"/>
        <v>74</v>
      </c>
      <c r="J392" s="2">
        <f t="shared" ca="1" si="80"/>
        <v>67636</v>
      </c>
      <c r="K392" s="2">
        <f t="shared" ca="1" si="81"/>
        <v>-3381.8</v>
      </c>
      <c r="L392" s="2">
        <f t="shared" ca="1" si="82"/>
        <v>44704</v>
      </c>
      <c r="M392" s="2" t="str">
        <f t="shared" ca="1" si="83"/>
        <v>Yes</v>
      </c>
    </row>
    <row r="393" spans="1:13" x14ac:dyDescent="0.25">
      <c r="A393" s="2" t="str">
        <f t="shared" si="72"/>
        <v>E392</v>
      </c>
      <c r="B393" s="2" t="s">
        <v>357</v>
      </c>
      <c r="C393" s="2" t="str">
        <f t="shared" ca="1" si="73"/>
        <v>Apr</v>
      </c>
      <c r="D393" s="2" t="str">
        <f t="shared" ca="1" si="74"/>
        <v>East</v>
      </c>
      <c r="E393" s="2" t="str">
        <f t="shared" ca="1" si="75"/>
        <v>Gujarat</v>
      </c>
      <c r="F393" s="2" t="str">
        <f t="shared" ca="1" si="76"/>
        <v>Finance</v>
      </c>
      <c r="G393" s="2" t="str">
        <f t="shared" ca="1" si="77"/>
        <v>Supervisor</v>
      </c>
      <c r="H393" s="2" t="str">
        <f t="shared" ca="1" si="78"/>
        <v>Clothing</v>
      </c>
      <c r="I393" s="2">
        <f t="shared" ca="1" si="79"/>
        <v>71</v>
      </c>
      <c r="J393" s="2">
        <f t="shared" ca="1" si="80"/>
        <v>26554</v>
      </c>
      <c r="K393" s="2">
        <f t="shared" ca="1" si="81"/>
        <v>4779.72</v>
      </c>
      <c r="L393" s="2">
        <f t="shared" ca="1" si="82"/>
        <v>43917</v>
      </c>
      <c r="M393" s="2" t="str">
        <f t="shared" ca="1" si="83"/>
        <v>No</v>
      </c>
    </row>
    <row r="394" spans="1:13" x14ac:dyDescent="0.25">
      <c r="A394" s="2" t="str">
        <f t="shared" si="72"/>
        <v>E393</v>
      </c>
      <c r="B394" s="2" t="s">
        <v>358</v>
      </c>
      <c r="C394" s="2" t="str">
        <f t="shared" ca="1" si="73"/>
        <v>Nov</v>
      </c>
      <c r="D394" s="2" t="str">
        <f t="shared" ca="1" si="74"/>
        <v>West</v>
      </c>
      <c r="E394" s="2" t="str">
        <f t="shared" ca="1" si="75"/>
        <v>Tamil Nadu</v>
      </c>
      <c r="F394" s="2" t="str">
        <f t="shared" ca="1" si="76"/>
        <v>Finance</v>
      </c>
      <c r="G394" s="2" t="str">
        <f t="shared" ca="1" si="77"/>
        <v>Analyst</v>
      </c>
      <c r="H394" s="2" t="str">
        <f t="shared" ca="1" si="78"/>
        <v>Books</v>
      </c>
      <c r="I394" s="2">
        <f t="shared" ca="1" si="79"/>
        <v>41</v>
      </c>
      <c r="J394" s="2">
        <f t="shared" ca="1" si="80"/>
        <v>17548</v>
      </c>
      <c r="K394" s="2">
        <f t="shared" ca="1" si="81"/>
        <v>0</v>
      </c>
      <c r="L394" s="2">
        <f t="shared" ca="1" si="82"/>
        <v>22000</v>
      </c>
      <c r="M394" s="2" t="str">
        <f t="shared" ca="1" si="83"/>
        <v>No</v>
      </c>
    </row>
    <row r="395" spans="1:13" x14ac:dyDescent="0.25">
      <c r="A395" s="2" t="str">
        <f t="shared" si="72"/>
        <v>E394</v>
      </c>
      <c r="B395" s="2" t="s">
        <v>359</v>
      </c>
      <c r="C395" s="2" t="str">
        <f t="shared" ca="1" si="73"/>
        <v>Dec</v>
      </c>
      <c r="D395" s="2" t="str">
        <f t="shared" ca="1" si="74"/>
        <v>North</v>
      </c>
      <c r="E395" s="2" t="str">
        <f t="shared" ca="1" si="75"/>
        <v>Delhi</v>
      </c>
      <c r="F395" s="2" t="str">
        <f t="shared" ca="1" si="76"/>
        <v>Marketing</v>
      </c>
      <c r="G395" s="2" t="str">
        <f t="shared" ca="1" si="77"/>
        <v>Analyst</v>
      </c>
      <c r="H395" s="2" t="str">
        <f t="shared" ca="1" si="78"/>
        <v>Books</v>
      </c>
      <c r="I395" s="2">
        <f t="shared" ca="1" si="79"/>
        <v>59</v>
      </c>
      <c r="J395" s="2">
        <f t="shared" ca="1" si="80"/>
        <v>14278</v>
      </c>
      <c r="K395" s="2">
        <f t="shared" ca="1" si="81"/>
        <v>3569.5</v>
      </c>
      <c r="L395" s="2">
        <f t="shared" ca="1" si="82"/>
        <v>36767</v>
      </c>
      <c r="M395" s="2" t="str">
        <f t="shared" ca="1" si="83"/>
        <v>No</v>
      </c>
    </row>
    <row r="396" spans="1:13" x14ac:dyDescent="0.25">
      <c r="A396" s="2" t="str">
        <f t="shared" si="72"/>
        <v>E395</v>
      </c>
      <c r="B396" s="2" t="s">
        <v>188</v>
      </c>
      <c r="C396" s="2" t="str">
        <f t="shared" ca="1" si="73"/>
        <v>May</v>
      </c>
      <c r="D396" s="2" t="str">
        <f t="shared" ca="1" si="74"/>
        <v>North</v>
      </c>
      <c r="E396" s="2" t="str">
        <f t="shared" ca="1" si="75"/>
        <v>West Bengal</v>
      </c>
      <c r="F396" s="2" t="str">
        <f t="shared" ca="1" si="76"/>
        <v>Finance</v>
      </c>
      <c r="G396" s="2" t="str">
        <f t="shared" ca="1" si="77"/>
        <v>Supervisor</v>
      </c>
      <c r="H396" s="2" t="str">
        <f t="shared" ca="1" si="78"/>
        <v>Clothing</v>
      </c>
      <c r="I396" s="2">
        <f t="shared" ca="1" si="79"/>
        <v>69</v>
      </c>
      <c r="J396" s="2">
        <f t="shared" ca="1" si="80"/>
        <v>40365</v>
      </c>
      <c r="K396" s="2">
        <f t="shared" ca="1" si="81"/>
        <v>11302.2</v>
      </c>
      <c r="L396" s="2">
        <f t="shared" ca="1" si="82"/>
        <v>19909</v>
      </c>
      <c r="M396" s="2" t="str">
        <f t="shared" ca="1" si="83"/>
        <v>Yes</v>
      </c>
    </row>
    <row r="397" spans="1:13" x14ac:dyDescent="0.25">
      <c r="A397" s="2" t="str">
        <f t="shared" si="72"/>
        <v>E396</v>
      </c>
      <c r="B397" s="2" t="s">
        <v>360</v>
      </c>
      <c r="C397" s="2" t="str">
        <f t="shared" ca="1" si="73"/>
        <v>Jul</v>
      </c>
      <c r="D397" s="2" t="str">
        <f t="shared" ca="1" si="74"/>
        <v>North</v>
      </c>
      <c r="E397" s="2" t="str">
        <f t="shared" ca="1" si="75"/>
        <v>Gujarat</v>
      </c>
      <c r="F397" s="2" t="str">
        <f t="shared" ca="1" si="76"/>
        <v>Finance</v>
      </c>
      <c r="G397" s="2" t="str">
        <f t="shared" ca="1" si="77"/>
        <v>Executive</v>
      </c>
      <c r="H397" s="2" t="str">
        <f t="shared" ca="1" si="78"/>
        <v>Electronics</v>
      </c>
      <c r="I397" s="2">
        <f t="shared" ca="1" si="79"/>
        <v>12</v>
      </c>
      <c r="J397" s="2">
        <f t="shared" ca="1" si="80"/>
        <v>9924</v>
      </c>
      <c r="K397" s="2">
        <f t="shared" ca="1" si="81"/>
        <v>793.92</v>
      </c>
      <c r="L397" s="2">
        <f t="shared" ca="1" si="82"/>
        <v>43567</v>
      </c>
      <c r="M397" s="2" t="str">
        <f t="shared" ca="1" si="83"/>
        <v>No</v>
      </c>
    </row>
    <row r="398" spans="1:13" x14ac:dyDescent="0.25">
      <c r="A398" s="2" t="str">
        <f t="shared" si="72"/>
        <v>E397</v>
      </c>
      <c r="B398" s="2" t="s">
        <v>361</v>
      </c>
      <c r="C398" s="2" t="str">
        <f t="shared" ca="1" si="73"/>
        <v>Jan</v>
      </c>
      <c r="D398" s="2" t="str">
        <f t="shared" ca="1" si="74"/>
        <v>South</v>
      </c>
      <c r="E398" s="2" t="str">
        <f t="shared" ca="1" si="75"/>
        <v>West Bengal</v>
      </c>
      <c r="F398" s="2" t="str">
        <f t="shared" ca="1" si="76"/>
        <v>Customer Support</v>
      </c>
      <c r="G398" s="2" t="str">
        <f t="shared" ca="1" si="77"/>
        <v>Specialist</v>
      </c>
      <c r="H398" s="2" t="str">
        <f t="shared" ca="1" si="78"/>
        <v>Shoes</v>
      </c>
      <c r="I398" s="2">
        <f t="shared" ca="1" si="79"/>
        <v>19</v>
      </c>
      <c r="J398" s="2">
        <f t="shared" ca="1" si="80"/>
        <v>17233</v>
      </c>
      <c r="K398" s="2">
        <f t="shared" ca="1" si="81"/>
        <v>4480.58</v>
      </c>
      <c r="L398" s="2">
        <f t="shared" ca="1" si="82"/>
        <v>20808</v>
      </c>
      <c r="M398" s="2" t="str">
        <f t="shared" ca="1" si="83"/>
        <v>No</v>
      </c>
    </row>
    <row r="399" spans="1:13" x14ac:dyDescent="0.25">
      <c r="A399" s="2" t="str">
        <f t="shared" si="72"/>
        <v>E398</v>
      </c>
      <c r="B399" s="2" t="s">
        <v>362</v>
      </c>
      <c r="C399" s="2" t="str">
        <f t="shared" ca="1" si="73"/>
        <v>Mar</v>
      </c>
      <c r="D399" s="2" t="str">
        <f t="shared" ca="1" si="74"/>
        <v>East</v>
      </c>
      <c r="E399" s="2" t="str">
        <f t="shared" ca="1" si="75"/>
        <v>Tamil Nadu</v>
      </c>
      <c r="F399" s="2" t="str">
        <f t="shared" ca="1" si="76"/>
        <v>Sales</v>
      </c>
      <c r="G399" s="2" t="str">
        <f t="shared" ca="1" si="77"/>
        <v>Analyst</v>
      </c>
      <c r="H399" s="2" t="str">
        <f t="shared" ca="1" si="78"/>
        <v>Books</v>
      </c>
      <c r="I399" s="2">
        <f t="shared" ca="1" si="79"/>
        <v>22</v>
      </c>
      <c r="J399" s="2">
        <f t="shared" ca="1" si="80"/>
        <v>19624</v>
      </c>
      <c r="K399" s="2">
        <f t="shared" ca="1" si="81"/>
        <v>-1569.92</v>
      </c>
      <c r="L399" s="2">
        <f t="shared" ca="1" si="82"/>
        <v>47118</v>
      </c>
      <c r="M399" s="2" t="str">
        <f t="shared" ca="1" si="83"/>
        <v>No</v>
      </c>
    </row>
    <row r="400" spans="1:13" x14ac:dyDescent="0.25">
      <c r="A400" s="2" t="str">
        <f t="shared" si="72"/>
        <v>E399</v>
      </c>
      <c r="B400" s="2" t="s">
        <v>29</v>
      </c>
      <c r="C400" s="2" t="str">
        <f t="shared" ca="1" si="73"/>
        <v>Mar</v>
      </c>
      <c r="D400" s="2" t="str">
        <f t="shared" ca="1" si="74"/>
        <v>North</v>
      </c>
      <c r="E400" s="2" t="str">
        <f t="shared" ca="1" si="75"/>
        <v>Delhi</v>
      </c>
      <c r="F400" s="2" t="str">
        <f t="shared" ca="1" si="76"/>
        <v>Finance</v>
      </c>
      <c r="G400" s="2" t="str">
        <f t="shared" ca="1" si="77"/>
        <v>Specialist</v>
      </c>
      <c r="H400" s="2" t="str">
        <f t="shared" ca="1" si="78"/>
        <v>Clothing</v>
      </c>
      <c r="I400" s="2">
        <f t="shared" ca="1" si="79"/>
        <v>91</v>
      </c>
      <c r="J400" s="2">
        <f t="shared" ca="1" si="80"/>
        <v>57603</v>
      </c>
      <c r="K400" s="2">
        <f t="shared" ca="1" si="81"/>
        <v>5184.2700000000004</v>
      </c>
      <c r="L400" s="2">
        <f t="shared" ca="1" si="82"/>
        <v>13513</v>
      </c>
      <c r="M400" s="2" t="str">
        <f t="shared" ca="1" si="83"/>
        <v>Yes</v>
      </c>
    </row>
    <row r="401" spans="1:13" x14ac:dyDescent="0.25">
      <c r="A401" s="2" t="str">
        <f t="shared" si="72"/>
        <v>E400</v>
      </c>
      <c r="B401" s="2" t="s">
        <v>23</v>
      </c>
      <c r="C401" s="2" t="str">
        <f t="shared" ca="1" si="73"/>
        <v>Jun</v>
      </c>
      <c r="D401" s="2" t="str">
        <f t="shared" ca="1" si="74"/>
        <v>East</v>
      </c>
      <c r="E401" s="2" t="str">
        <f t="shared" ca="1" si="75"/>
        <v>West Bengal</v>
      </c>
      <c r="F401" s="2" t="str">
        <f t="shared" ca="1" si="76"/>
        <v>Customer Support</v>
      </c>
      <c r="G401" s="2" t="str">
        <f t="shared" ca="1" si="77"/>
        <v>Analyst</v>
      </c>
      <c r="H401" s="2" t="str">
        <f t="shared" ca="1" si="78"/>
        <v>Electronics</v>
      </c>
      <c r="I401" s="2">
        <f t="shared" ca="1" si="79"/>
        <v>70</v>
      </c>
      <c r="J401" s="2">
        <f t="shared" ca="1" si="80"/>
        <v>46970</v>
      </c>
      <c r="K401" s="2">
        <f t="shared" ca="1" si="81"/>
        <v>-2348.5</v>
      </c>
      <c r="L401" s="2">
        <f t="shared" ca="1" si="82"/>
        <v>29577</v>
      </c>
      <c r="M401" s="2" t="str">
        <f t="shared" ca="1" si="83"/>
        <v>Yes</v>
      </c>
    </row>
    <row r="402" spans="1:13" x14ac:dyDescent="0.25">
      <c r="A402" s="2" t="str">
        <f t="shared" si="72"/>
        <v>E401</v>
      </c>
      <c r="B402" s="2" t="s">
        <v>363</v>
      </c>
      <c r="C402" s="2" t="str">
        <f t="shared" ca="1" si="73"/>
        <v>Sep</v>
      </c>
      <c r="D402" s="2" t="str">
        <f t="shared" ca="1" si="74"/>
        <v>North</v>
      </c>
      <c r="E402" s="2" t="str">
        <f t="shared" ca="1" si="75"/>
        <v>Punjab</v>
      </c>
      <c r="F402" s="2" t="str">
        <f t="shared" ca="1" si="76"/>
        <v>Finance</v>
      </c>
      <c r="G402" s="2" t="str">
        <f t="shared" ca="1" si="77"/>
        <v>Executive</v>
      </c>
      <c r="H402" s="2" t="str">
        <f t="shared" ca="1" si="78"/>
        <v>Electronics</v>
      </c>
      <c r="I402" s="2">
        <f t="shared" ca="1" si="79"/>
        <v>27</v>
      </c>
      <c r="J402" s="2">
        <f t="shared" ca="1" si="80"/>
        <v>18846</v>
      </c>
      <c r="K402" s="2">
        <f t="shared" ca="1" si="81"/>
        <v>3015.36</v>
      </c>
      <c r="L402" s="2">
        <f t="shared" ca="1" si="82"/>
        <v>17301</v>
      </c>
      <c r="M402" s="2" t="str">
        <f t="shared" ca="1" si="83"/>
        <v>Yes</v>
      </c>
    </row>
    <row r="403" spans="1:13" x14ac:dyDescent="0.25">
      <c r="A403" s="2" t="str">
        <f t="shared" si="72"/>
        <v>E402</v>
      </c>
      <c r="B403" s="2" t="s">
        <v>364</v>
      </c>
      <c r="C403" s="2" t="str">
        <f t="shared" ca="1" si="73"/>
        <v>Nov</v>
      </c>
      <c r="D403" s="2" t="str">
        <f t="shared" ca="1" si="74"/>
        <v>East</v>
      </c>
      <c r="E403" s="2" t="str">
        <f t="shared" ca="1" si="75"/>
        <v>Delhi</v>
      </c>
      <c r="F403" s="2" t="str">
        <f t="shared" ca="1" si="76"/>
        <v>Customer Support</v>
      </c>
      <c r="G403" s="2" t="str">
        <f t="shared" ca="1" si="77"/>
        <v>Analyst</v>
      </c>
      <c r="H403" s="2" t="str">
        <f t="shared" ca="1" si="78"/>
        <v>Clothing</v>
      </c>
      <c r="I403" s="2">
        <f t="shared" ca="1" si="79"/>
        <v>84</v>
      </c>
      <c r="J403" s="2">
        <f t="shared" ca="1" si="80"/>
        <v>68964</v>
      </c>
      <c r="K403" s="2">
        <f t="shared" ca="1" si="81"/>
        <v>-2068.92</v>
      </c>
      <c r="L403" s="2">
        <f t="shared" ca="1" si="82"/>
        <v>20145</v>
      </c>
      <c r="M403" s="2" t="str">
        <f t="shared" ca="1" si="83"/>
        <v>Yes</v>
      </c>
    </row>
    <row r="404" spans="1:13" x14ac:dyDescent="0.25">
      <c r="A404" s="2" t="str">
        <f t="shared" si="72"/>
        <v>E403</v>
      </c>
      <c r="B404" s="2" t="s">
        <v>54</v>
      </c>
      <c r="C404" s="2" t="str">
        <f t="shared" ca="1" si="73"/>
        <v>Apr</v>
      </c>
      <c r="D404" s="2" t="str">
        <f t="shared" ca="1" si="74"/>
        <v>North</v>
      </c>
      <c r="E404" s="2" t="str">
        <f t="shared" ca="1" si="75"/>
        <v>Tamil Nadu</v>
      </c>
      <c r="F404" s="2" t="str">
        <f t="shared" ca="1" si="76"/>
        <v>Marketing</v>
      </c>
      <c r="G404" s="2" t="str">
        <f t="shared" ca="1" si="77"/>
        <v>Specialist</v>
      </c>
      <c r="H404" s="2" t="str">
        <f t="shared" ca="1" si="78"/>
        <v>Electronics</v>
      </c>
      <c r="I404" s="2">
        <f t="shared" ca="1" si="79"/>
        <v>12</v>
      </c>
      <c r="J404" s="2">
        <f t="shared" ca="1" si="80"/>
        <v>5316</v>
      </c>
      <c r="K404" s="2">
        <f t="shared" ca="1" si="81"/>
        <v>106.32</v>
      </c>
      <c r="L404" s="2">
        <f t="shared" ca="1" si="82"/>
        <v>41409</v>
      </c>
      <c r="M404" s="2" t="str">
        <f t="shared" ca="1" si="83"/>
        <v>No</v>
      </c>
    </row>
    <row r="405" spans="1:13" x14ac:dyDescent="0.25">
      <c r="A405" s="2" t="str">
        <f t="shared" si="72"/>
        <v>E404</v>
      </c>
      <c r="B405" s="2" t="s">
        <v>42</v>
      </c>
      <c r="C405" s="2" t="str">
        <f t="shared" ca="1" si="73"/>
        <v>Feb</v>
      </c>
      <c r="D405" s="2" t="str">
        <f t="shared" ca="1" si="74"/>
        <v>East</v>
      </c>
      <c r="E405" s="2" t="str">
        <f t="shared" ca="1" si="75"/>
        <v>Madhya Pradesh</v>
      </c>
      <c r="F405" s="2" t="str">
        <f t="shared" ca="1" si="76"/>
        <v>Operations</v>
      </c>
      <c r="G405" s="2" t="str">
        <f t="shared" ca="1" si="77"/>
        <v>Supervisor</v>
      </c>
      <c r="H405" s="2" t="str">
        <f t="shared" ca="1" si="78"/>
        <v>Shoes</v>
      </c>
      <c r="I405" s="2">
        <f t="shared" ca="1" si="79"/>
        <v>93</v>
      </c>
      <c r="J405" s="2">
        <f t="shared" ca="1" si="80"/>
        <v>89280</v>
      </c>
      <c r="K405" s="2">
        <f t="shared" ca="1" si="81"/>
        <v>19641.599999999999</v>
      </c>
      <c r="L405" s="2">
        <f t="shared" ca="1" si="82"/>
        <v>10484</v>
      </c>
      <c r="M405" s="2" t="str">
        <f t="shared" ca="1" si="83"/>
        <v>Yes</v>
      </c>
    </row>
    <row r="406" spans="1:13" x14ac:dyDescent="0.25">
      <c r="A406" s="2" t="str">
        <f t="shared" si="72"/>
        <v>E405</v>
      </c>
      <c r="B406" s="2" t="s">
        <v>19</v>
      </c>
      <c r="C406" s="2" t="str">
        <f t="shared" ca="1" si="73"/>
        <v>Aug</v>
      </c>
      <c r="D406" s="2" t="str">
        <f t="shared" ca="1" si="74"/>
        <v>West</v>
      </c>
      <c r="E406" s="2" t="str">
        <f t="shared" ca="1" si="75"/>
        <v>Delhi</v>
      </c>
      <c r="F406" s="2" t="str">
        <f t="shared" ca="1" si="76"/>
        <v>HR</v>
      </c>
      <c r="G406" s="2" t="str">
        <f t="shared" ca="1" si="77"/>
        <v>Executive</v>
      </c>
      <c r="H406" s="2" t="str">
        <f t="shared" ca="1" si="78"/>
        <v>Clothing</v>
      </c>
      <c r="I406" s="2">
        <f t="shared" ca="1" si="79"/>
        <v>35</v>
      </c>
      <c r="J406" s="2">
        <f t="shared" ca="1" si="80"/>
        <v>16415</v>
      </c>
      <c r="K406" s="2">
        <f t="shared" ca="1" si="81"/>
        <v>2790.55</v>
      </c>
      <c r="L406" s="2">
        <f t="shared" ca="1" si="82"/>
        <v>21046</v>
      </c>
      <c r="M406" s="2" t="str">
        <f t="shared" ca="1" si="83"/>
        <v>No</v>
      </c>
    </row>
    <row r="407" spans="1:13" x14ac:dyDescent="0.25">
      <c r="A407" s="2" t="str">
        <f t="shared" si="72"/>
        <v>E406</v>
      </c>
      <c r="B407" s="2" t="s">
        <v>164</v>
      </c>
      <c r="C407" s="2" t="str">
        <f t="shared" ca="1" si="73"/>
        <v>May</v>
      </c>
      <c r="D407" s="2" t="str">
        <f t="shared" ca="1" si="74"/>
        <v>South</v>
      </c>
      <c r="E407" s="2" t="str">
        <f t="shared" ca="1" si="75"/>
        <v>Madhya Pradesh</v>
      </c>
      <c r="F407" s="2" t="str">
        <f t="shared" ca="1" si="76"/>
        <v>Sales</v>
      </c>
      <c r="G407" s="2" t="str">
        <f t="shared" ca="1" si="77"/>
        <v>Analyst</v>
      </c>
      <c r="H407" s="2" t="str">
        <f t="shared" ca="1" si="78"/>
        <v>Shoes</v>
      </c>
      <c r="I407" s="2">
        <f t="shared" ca="1" si="79"/>
        <v>94</v>
      </c>
      <c r="J407" s="2">
        <f t="shared" ca="1" si="80"/>
        <v>36942</v>
      </c>
      <c r="K407" s="2">
        <f t="shared" ca="1" si="81"/>
        <v>7757.82</v>
      </c>
      <c r="L407" s="2">
        <f t="shared" ca="1" si="82"/>
        <v>32747</v>
      </c>
      <c r="M407" s="2" t="str">
        <f t="shared" ca="1" si="83"/>
        <v>Yes</v>
      </c>
    </row>
    <row r="408" spans="1:13" x14ac:dyDescent="0.25">
      <c r="A408" s="2" t="str">
        <f t="shared" si="72"/>
        <v>E407</v>
      </c>
      <c r="B408" s="2" t="s">
        <v>52</v>
      </c>
      <c r="C408" s="2" t="str">
        <f t="shared" ca="1" si="73"/>
        <v>May</v>
      </c>
      <c r="D408" s="2" t="str">
        <f t="shared" ca="1" si="74"/>
        <v>East</v>
      </c>
      <c r="E408" s="2" t="str">
        <f t="shared" ca="1" si="75"/>
        <v>West Bengal</v>
      </c>
      <c r="F408" s="2" t="str">
        <f t="shared" ca="1" si="76"/>
        <v>Finance</v>
      </c>
      <c r="G408" s="2" t="str">
        <f t="shared" ca="1" si="77"/>
        <v>Executive</v>
      </c>
      <c r="H408" s="2" t="str">
        <f t="shared" ca="1" si="78"/>
        <v>Shoes</v>
      </c>
      <c r="I408" s="2">
        <f t="shared" ca="1" si="79"/>
        <v>60</v>
      </c>
      <c r="J408" s="2">
        <f t="shared" ca="1" si="80"/>
        <v>12960</v>
      </c>
      <c r="K408" s="2">
        <f t="shared" ca="1" si="81"/>
        <v>2203.1999999999998</v>
      </c>
      <c r="L408" s="2">
        <f t="shared" ca="1" si="82"/>
        <v>39016</v>
      </c>
      <c r="M408" s="2" t="str">
        <f t="shared" ca="1" si="83"/>
        <v>No</v>
      </c>
    </row>
    <row r="409" spans="1:13" x14ac:dyDescent="0.25">
      <c r="A409" s="2" t="str">
        <f t="shared" si="72"/>
        <v>E408</v>
      </c>
      <c r="B409" s="2" t="s">
        <v>365</v>
      </c>
      <c r="C409" s="2" t="str">
        <f t="shared" ca="1" si="73"/>
        <v>Dec</v>
      </c>
      <c r="D409" s="2" t="str">
        <f t="shared" ca="1" si="74"/>
        <v>West</v>
      </c>
      <c r="E409" s="2" t="str">
        <f t="shared" ca="1" si="75"/>
        <v>Madhya Pradesh</v>
      </c>
      <c r="F409" s="2" t="str">
        <f t="shared" ca="1" si="76"/>
        <v>HR</v>
      </c>
      <c r="G409" s="2" t="str">
        <f t="shared" ca="1" si="77"/>
        <v>Executive</v>
      </c>
      <c r="H409" s="2" t="str">
        <f t="shared" ca="1" si="78"/>
        <v>Electronics</v>
      </c>
      <c r="I409" s="2">
        <f t="shared" ca="1" si="79"/>
        <v>37</v>
      </c>
      <c r="J409" s="2">
        <f t="shared" ca="1" si="80"/>
        <v>20387</v>
      </c>
      <c r="K409" s="2">
        <f t="shared" ca="1" si="81"/>
        <v>4892.88</v>
      </c>
      <c r="L409" s="2">
        <f t="shared" ca="1" si="82"/>
        <v>40702</v>
      </c>
      <c r="M409" s="2" t="str">
        <f t="shared" ca="1" si="83"/>
        <v>No</v>
      </c>
    </row>
    <row r="410" spans="1:13" x14ac:dyDescent="0.25">
      <c r="A410" s="2" t="str">
        <f t="shared" si="72"/>
        <v>E409</v>
      </c>
      <c r="B410" s="2" t="s">
        <v>14</v>
      </c>
      <c r="C410" s="2" t="str">
        <f t="shared" ca="1" si="73"/>
        <v>Aug</v>
      </c>
      <c r="D410" s="2" t="str">
        <f t="shared" ca="1" si="74"/>
        <v>South</v>
      </c>
      <c r="E410" s="2" t="str">
        <f t="shared" ca="1" si="75"/>
        <v>Tamil Nadu</v>
      </c>
      <c r="F410" s="2" t="str">
        <f t="shared" ca="1" si="76"/>
        <v>Marketing</v>
      </c>
      <c r="G410" s="2" t="str">
        <f t="shared" ca="1" si="77"/>
        <v>Supervisor</v>
      </c>
      <c r="H410" s="2" t="str">
        <f t="shared" ca="1" si="78"/>
        <v>Books</v>
      </c>
      <c r="I410" s="2">
        <f t="shared" ca="1" si="79"/>
        <v>69</v>
      </c>
      <c r="J410" s="2">
        <f t="shared" ca="1" si="80"/>
        <v>29808</v>
      </c>
      <c r="K410" s="2">
        <f t="shared" ca="1" si="81"/>
        <v>8644.32</v>
      </c>
      <c r="L410" s="2">
        <f t="shared" ca="1" si="82"/>
        <v>18716</v>
      </c>
      <c r="M410" s="2" t="str">
        <f t="shared" ca="1" si="83"/>
        <v>Yes</v>
      </c>
    </row>
    <row r="411" spans="1:13" x14ac:dyDescent="0.25">
      <c r="A411" s="2" t="str">
        <f t="shared" si="72"/>
        <v>E410</v>
      </c>
      <c r="B411" s="2" t="s">
        <v>366</v>
      </c>
      <c r="C411" s="2" t="str">
        <f t="shared" ca="1" si="73"/>
        <v>Jun</v>
      </c>
      <c r="D411" s="2" t="str">
        <f t="shared" ca="1" si="74"/>
        <v>North</v>
      </c>
      <c r="E411" s="2" t="str">
        <f t="shared" ca="1" si="75"/>
        <v>Delhi</v>
      </c>
      <c r="F411" s="2" t="str">
        <f t="shared" ca="1" si="76"/>
        <v>HR</v>
      </c>
      <c r="G411" s="2" t="str">
        <f t="shared" ca="1" si="77"/>
        <v>Analyst</v>
      </c>
      <c r="H411" s="2" t="str">
        <f t="shared" ca="1" si="78"/>
        <v>Electronics</v>
      </c>
      <c r="I411" s="2">
        <f t="shared" ca="1" si="79"/>
        <v>90</v>
      </c>
      <c r="J411" s="2">
        <f t="shared" ca="1" si="80"/>
        <v>37350</v>
      </c>
      <c r="K411" s="2">
        <f t="shared" ca="1" si="81"/>
        <v>-747</v>
      </c>
      <c r="L411" s="2">
        <f t="shared" ca="1" si="82"/>
        <v>28232</v>
      </c>
      <c r="M411" s="2" t="str">
        <f t="shared" ca="1" si="83"/>
        <v>Yes</v>
      </c>
    </row>
    <row r="412" spans="1:13" x14ac:dyDescent="0.25">
      <c r="A412" s="2" t="str">
        <f t="shared" si="72"/>
        <v>E411</v>
      </c>
      <c r="B412" s="2" t="s">
        <v>367</v>
      </c>
      <c r="C412" s="2" t="str">
        <f t="shared" ca="1" si="73"/>
        <v>Nov</v>
      </c>
      <c r="D412" s="2" t="str">
        <f t="shared" ca="1" si="74"/>
        <v>East</v>
      </c>
      <c r="E412" s="2" t="str">
        <f t="shared" ca="1" si="75"/>
        <v>Delhi</v>
      </c>
      <c r="F412" s="2" t="str">
        <f t="shared" ca="1" si="76"/>
        <v>HR</v>
      </c>
      <c r="G412" s="2" t="str">
        <f t="shared" ca="1" si="77"/>
        <v>Analyst</v>
      </c>
      <c r="H412" s="2" t="str">
        <f t="shared" ca="1" si="78"/>
        <v>Electronics</v>
      </c>
      <c r="I412" s="2">
        <f t="shared" ca="1" si="79"/>
        <v>78</v>
      </c>
      <c r="J412" s="2">
        <f t="shared" ca="1" si="80"/>
        <v>74724</v>
      </c>
      <c r="K412" s="2">
        <f t="shared" ca="1" si="81"/>
        <v>11208.6</v>
      </c>
      <c r="L412" s="2">
        <f t="shared" ca="1" si="82"/>
        <v>17177</v>
      </c>
      <c r="M412" s="2" t="str">
        <f t="shared" ca="1" si="83"/>
        <v>Yes</v>
      </c>
    </row>
    <row r="413" spans="1:13" x14ac:dyDescent="0.25">
      <c r="A413" s="2" t="str">
        <f t="shared" si="72"/>
        <v>E412</v>
      </c>
      <c r="B413" s="2" t="s">
        <v>368</v>
      </c>
      <c r="C413" s="2" t="str">
        <f t="shared" ca="1" si="73"/>
        <v>Sep</v>
      </c>
      <c r="D413" s="2" t="str">
        <f t="shared" ca="1" si="74"/>
        <v>West</v>
      </c>
      <c r="E413" s="2" t="str">
        <f t="shared" ca="1" si="75"/>
        <v>Punjab</v>
      </c>
      <c r="F413" s="2" t="str">
        <f t="shared" ca="1" si="76"/>
        <v>Customer Support</v>
      </c>
      <c r="G413" s="2" t="str">
        <f t="shared" ca="1" si="77"/>
        <v>Executive</v>
      </c>
      <c r="H413" s="2" t="str">
        <f t="shared" ca="1" si="78"/>
        <v>Shoes</v>
      </c>
      <c r="I413" s="2">
        <f t="shared" ca="1" si="79"/>
        <v>34</v>
      </c>
      <c r="J413" s="2">
        <f t="shared" ca="1" si="80"/>
        <v>8874</v>
      </c>
      <c r="K413" s="2">
        <f t="shared" ca="1" si="81"/>
        <v>2484.7199999999998</v>
      </c>
      <c r="L413" s="2">
        <f t="shared" ca="1" si="82"/>
        <v>47101</v>
      </c>
      <c r="M413" s="2" t="str">
        <f t="shared" ca="1" si="83"/>
        <v>No</v>
      </c>
    </row>
    <row r="414" spans="1:13" x14ac:dyDescent="0.25">
      <c r="A414" s="2" t="str">
        <f t="shared" si="72"/>
        <v>E413</v>
      </c>
      <c r="B414" s="2" t="s">
        <v>369</v>
      </c>
      <c r="C414" s="2" t="str">
        <f t="shared" ca="1" si="73"/>
        <v>Mar</v>
      </c>
      <c r="D414" s="2" t="str">
        <f t="shared" ca="1" si="74"/>
        <v>North</v>
      </c>
      <c r="E414" s="2" t="str">
        <f t="shared" ca="1" si="75"/>
        <v>Punjab</v>
      </c>
      <c r="F414" s="2" t="str">
        <f t="shared" ca="1" si="76"/>
        <v>Operations</v>
      </c>
      <c r="G414" s="2" t="str">
        <f t="shared" ca="1" si="77"/>
        <v>Supervisor</v>
      </c>
      <c r="H414" s="2" t="str">
        <f t="shared" ca="1" si="78"/>
        <v>Electronics</v>
      </c>
      <c r="I414" s="2">
        <f t="shared" ca="1" si="79"/>
        <v>73</v>
      </c>
      <c r="J414" s="2">
        <f t="shared" ca="1" si="80"/>
        <v>29346</v>
      </c>
      <c r="K414" s="2">
        <f t="shared" ca="1" si="81"/>
        <v>-586.91999999999996</v>
      </c>
      <c r="L414" s="2">
        <f t="shared" ca="1" si="82"/>
        <v>26187</v>
      </c>
      <c r="M414" s="2" t="str">
        <f t="shared" ca="1" si="83"/>
        <v>Yes</v>
      </c>
    </row>
    <row r="415" spans="1:13" x14ac:dyDescent="0.25">
      <c r="A415" s="2" t="str">
        <f t="shared" si="72"/>
        <v>E414</v>
      </c>
      <c r="B415" s="2" t="s">
        <v>370</v>
      </c>
      <c r="C415" s="2" t="str">
        <f t="shared" ca="1" si="73"/>
        <v>Dec</v>
      </c>
      <c r="D415" s="2" t="str">
        <f t="shared" ca="1" si="74"/>
        <v>South</v>
      </c>
      <c r="E415" s="2" t="str">
        <f t="shared" ca="1" si="75"/>
        <v>Madhya Pradesh</v>
      </c>
      <c r="F415" s="2" t="str">
        <f t="shared" ca="1" si="76"/>
        <v>Marketing</v>
      </c>
      <c r="G415" s="2" t="str">
        <f t="shared" ca="1" si="77"/>
        <v>Specialist</v>
      </c>
      <c r="H415" s="2" t="str">
        <f t="shared" ca="1" si="78"/>
        <v>Clothing</v>
      </c>
      <c r="I415" s="2">
        <f t="shared" ca="1" si="79"/>
        <v>74</v>
      </c>
      <c r="J415" s="2">
        <f t="shared" ca="1" si="80"/>
        <v>67784</v>
      </c>
      <c r="K415" s="2">
        <f t="shared" ca="1" si="81"/>
        <v>16946</v>
      </c>
      <c r="L415" s="2">
        <f t="shared" ca="1" si="82"/>
        <v>25203</v>
      </c>
      <c r="M415" s="2" t="str">
        <f t="shared" ca="1" si="83"/>
        <v>Yes</v>
      </c>
    </row>
    <row r="416" spans="1:13" x14ac:dyDescent="0.25">
      <c r="A416" s="2" t="str">
        <f t="shared" si="72"/>
        <v>E415</v>
      </c>
      <c r="B416" s="2" t="s">
        <v>22</v>
      </c>
      <c r="C416" s="2" t="str">
        <f t="shared" ca="1" si="73"/>
        <v>Aug</v>
      </c>
      <c r="D416" s="2" t="str">
        <f t="shared" ca="1" si="74"/>
        <v>North</v>
      </c>
      <c r="E416" s="2" t="str">
        <f t="shared" ca="1" si="75"/>
        <v>Gujarat</v>
      </c>
      <c r="F416" s="2" t="str">
        <f t="shared" ca="1" si="76"/>
        <v>Marketing</v>
      </c>
      <c r="G416" s="2" t="str">
        <f t="shared" ca="1" si="77"/>
        <v>Specialist</v>
      </c>
      <c r="H416" s="2" t="str">
        <f t="shared" ca="1" si="78"/>
        <v>Shoes</v>
      </c>
      <c r="I416" s="2">
        <f t="shared" ca="1" si="79"/>
        <v>66</v>
      </c>
      <c r="J416" s="2">
        <f t="shared" ca="1" si="80"/>
        <v>30096</v>
      </c>
      <c r="K416" s="2">
        <f t="shared" ca="1" si="81"/>
        <v>-1203.8399999999999</v>
      </c>
      <c r="L416" s="2">
        <f t="shared" ca="1" si="82"/>
        <v>36667</v>
      </c>
      <c r="M416" s="2" t="str">
        <f t="shared" ca="1" si="83"/>
        <v>No</v>
      </c>
    </row>
    <row r="417" spans="1:13" x14ac:dyDescent="0.25">
      <c r="A417" s="2" t="str">
        <f t="shared" si="72"/>
        <v>E416</v>
      </c>
      <c r="B417" s="2" t="s">
        <v>371</v>
      </c>
      <c r="C417" s="2" t="str">
        <f t="shared" ca="1" si="73"/>
        <v>Sep</v>
      </c>
      <c r="D417" s="2" t="str">
        <f t="shared" ca="1" si="74"/>
        <v>East</v>
      </c>
      <c r="E417" s="2" t="str">
        <f t="shared" ca="1" si="75"/>
        <v>Delhi</v>
      </c>
      <c r="F417" s="2" t="str">
        <f t="shared" ca="1" si="76"/>
        <v>Customer Support</v>
      </c>
      <c r="G417" s="2" t="str">
        <f t="shared" ca="1" si="77"/>
        <v>Analyst</v>
      </c>
      <c r="H417" s="2" t="str">
        <f t="shared" ca="1" si="78"/>
        <v>Books</v>
      </c>
      <c r="I417" s="2">
        <f t="shared" ca="1" si="79"/>
        <v>11</v>
      </c>
      <c r="J417" s="2">
        <f t="shared" ca="1" si="80"/>
        <v>9317</v>
      </c>
      <c r="K417" s="2">
        <f t="shared" ca="1" si="81"/>
        <v>2049.7399999999998</v>
      </c>
      <c r="L417" s="2">
        <f t="shared" ca="1" si="82"/>
        <v>11408</v>
      </c>
      <c r="M417" s="2" t="str">
        <f t="shared" ca="1" si="83"/>
        <v>No</v>
      </c>
    </row>
    <row r="418" spans="1:13" x14ac:dyDescent="0.25">
      <c r="A418" s="2" t="str">
        <f t="shared" si="72"/>
        <v>E417</v>
      </c>
      <c r="B418" s="2" t="s">
        <v>372</v>
      </c>
      <c r="C418" s="2" t="str">
        <f t="shared" ca="1" si="73"/>
        <v>Oct</v>
      </c>
      <c r="D418" s="2" t="str">
        <f t="shared" ca="1" si="74"/>
        <v>West</v>
      </c>
      <c r="E418" s="2" t="str">
        <f t="shared" ca="1" si="75"/>
        <v>West Bengal</v>
      </c>
      <c r="F418" s="2" t="str">
        <f t="shared" ca="1" si="76"/>
        <v>Sales</v>
      </c>
      <c r="G418" s="2" t="str">
        <f t="shared" ca="1" si="77"/>
        <v>Supervisor</v>
      </c>
      <c r="H418" s="2" t="str">
        <f t="shared" ca="1" si="78"/>
        <v>Books</v>
      </c>
      <c r="I418" s="2">
        <f t="shared" ca="1" si="79"/>
        <v>69</v>
      </c>
      <c r="J418" s="2">
        <f t="shared" ca="1" si="80"/>
        <v>31257</v>
      </c>
      <c r="K418" s="2">
        <f t="shared" ca="1" si="81"/>
        <v>2187.9899999999998</v>
      </c>
      <c r="L418" s="2">
        <f t="shared" ca="1" si="82"/>
        <v>38339</v>
      </c>
      <c r="M418" s="2" t="str">
        <f t="shared" ca="1" si="83"/>
        <v>No</v>
      </c>
    </row>
    <row r="419" spans="1:13" x14ac:dyDescent="0.25">
      <c r="A419" s="2" t="str">
        <f t="shared" si="72"/>
        <v>E418</v>
      </c>
      <c r="B419" s="2" t="s">
        <v>373</v>
      </c>
      <c r="C419" s="2" t="str">
        <f t="shared" ca="1" si="73"/>
        <v>Jun</v>
      </c>
      <c r="D419" s="2" t="str">
        <f t="shared" ca="1" si="74"/>
        <v>West</v>
      </c>
      <c r="E419" s="2" t="str">
        <f t="shared" ca="1" si="75"/>
        <v>Punjab</v>
      </c>
      <c r="F419" s="2" t="str">
        <f t="shared" ca="1" si="76"/>
        <v>Marketing</v>
      </c>
      <c r="G419" s="2" t="str">
        <f t="shared" ca="1" si="77"/>
        <v>Executive</v>
      </c>
      <c r="H419" s="2" t="str">
        <f t="shared" ca="1" si="78"/>
        <v>Shoes</v>
      </c>
      <c r="I419" s="2">
        <f t="shared" ca="1" si="79"/>
        <v>29</v>
      </c>
      <c r="J419" s="2">
        <f t="shared" ca="1" si="80"/>
        <v>14906</v>
      </c>
      <c r="K419" s="2">
        <f t="shared" ca="1" si="81"/>
        <v>-149.06</v>
      </c>
      <c r="L419" s="2">
        <f t="shared" ca="1" si="82"/>
        <v>28845</v>
      </c>
      <c r="M419" s="2" t="str">
        <f t="shared" ca="1" si="83"/>
        <v>No</v>
      </c>
    </row>
    <row r="420" spans="1:13" x14ac:dyDescent="0.25">
      <c r="A420" s="2" t="str">
        <f t="shared" si="72"/>
        <v>E419</v>
      </c>
      <c r="B420" s="2" t="s">
        <v>6</v>
      </c>
      <c r="C420" s="2" t="str">
        <f t="shared" ca="1" si="73"/>
        <v>Sep</v>
      </c>
      <c r="D420" s="2" t="str">
        <f t="shared" ca="1" si="74"/>
        <v>North</v>
      </c>
      <c r="E420" s="2" t="str">
        <f t="shared" ca="1" si="75"/>
        <v>Delhi</v>
      </c>
      <c r="F420" s="2" t="str">
        <f t="shared" ca="1" si="76"/>
        <v>Finance</v>
      </c>
      <c r="G420" s="2" t="str">
        <f t="shared" ca="1" si="77"/>
        <v>Specialist</v>
      </c>
      <c r="H420" s="2" t="str">
        <f t="shared" ca="1" si="78"/>
        <v>Electronics</v>
      </c>
      <c r="I420" s="2">
        <f t="shared" ca="1" si="79"/>
        <v>86</v>
      </c>
      <c r="J420" s="2">
        <f t="shared" ca="1" si="80"/>
        <v>40420</v>
      </c>
      <c r="K420" s="2">
        <f t="shared" ca="1" si="81"/>
        <v>-808.4</v>
      </c>
      <c r="L420" s="2">
        <f t="shared" ca="1" si="82"/>
        <v>17992</v>
      </c>
      <c r="M420" s="2" t="str">
        <f t="shared" ca="1" si="83"/>
        <v>Yes</v>
      </c>
    </row>
    <row r="421" spans="1:13" x14ac:dyDescent="0.25">
      <c r="A421" s="2" t="str">
        <f t="shared" si="72"/>
        <v>E420</v>
      </c>
      <c r="B421" s="2" t="s">
        <v>374</v>
      </c>
      <c r="C421" s="2" t="str">
        <f t="shared" ca="1" si="73"/>
        <v>Feb</v>
      </c>
      <c r="D421" s="2" t="str">
        <f t="shared" ca="1" si="74"/>
        <v>West</v>
      </c>
      <c r="E421" s="2" t="str">
        <f t="shared" ca="1" si="75"/>
        <v>West Bengal</v>
      </c>
      <c r="F421" s="2" t="str">
        <f t="shared" ca="1" si="76"/>
        <v>Sales</v>
      </c>
      <c r="G421" s="2" t="str">
        <f t="shared" ca="1" si="77"/>
        <v>Specialist</v>
      </c>
      <c r="H421" s="2" t="str">
        <f t="shared" ca="1" si="78"/>
        <v>Books</v>
      </c>
      <c r="I421" s="2">
        <f t="shared" ca="1" si="79"/>
        <v>47</v>
      </c>
      <c r="J421" s="2">
        <f t="shared" ca="1" si="80"/>
        <v>20633</v>
      </c>
      <c r="K421" s="2">
        <f t="shared" ca="1" si="81"/>
        <v>4951.92</v>
      </c>
      <c r="L421" s="2">
        <f t="shared" ca="1" si="82"/>
        <v>34403</v>
      </c>
      <c r="M421" s="2" t="str">
        <f t="shared" ca="1" si="83"/>
        <v>No</v>
      </c>
    </row>
    <row r="422" spans="1:13" x14ac:dyDescent="0.25">
      <c r="A422" s="2" t="str">
        <f t="shared" si="72"/>
        <v>E421</v>
      </c>
      <c r="B422" s="2" t="s">
        <v>375</v>
      </c>
      <c r="C422" s="2" t="str">
        <f t="shared" ca="1" si="73"/>
        <v>Apr</v>
      </c>
      <c r="D422" s="2" t="str">
        <f t="shared" ca="1" si="74"/>
        <v>East</v>
      </c>
      <c r="E422" s="2" t="str">
        <f t="shared" ca="1" si="75"/>
        <v>West Bengal</v>
      </c>
      <c r="F422" s="2" t="str">
        <f t="shared" ca="1" si="76"/>
        <v>Sales</v>
      </c>
      <c r="G422" s="2" t="str">
        <f t="shared" ca="1" si="77"/>
        <v>Supervisor</v>
      </c>
      <c r="H422" s="2" t="str">
        <f t="shared" ca="1" si="78"/>
        <v>Electronics</v>
      </c>
      <c r="I422" s="2">
        <f t="shared" ca="1" si="79"/>
        <v>44</v>
      </c>
      <c r="J422" s="2">
        <f t="shared" ca="1" si="80"/>
        <v>18656</v>
      </c>
      <c r="K422" s="2">
        <f t="shared" ca="1" si="81"/>
        <v>0</v>
      </c>
      <c r="L422" s="2">
        <f t="shared" ca="1" si="82"/>
        <v>28319</v>
      </c>
      <c r="M422" s="2" t="str">
        <f t="shared" ca="1" si="83"/>
        <v>No</v>
      </c>
    </row>
    <row r="423" spans="1:13" x14ac:dyDescent="0.25">
      <c r="A423" s="2" t="str">
        <f t="shared" si="72"/>
        <v>E422</v>
      </c>
      <c r="B423" s="2" t="s">
        <v>376</v>
      </c>
      <c r="C423" s="2" t="str">
        <f t="shared" ca="1" si="73"/>
        <v>Mar</v>
      </c>
      <c r="D423" s="2" t="str">
        <f t="shared" ca="1" si="74"/>
        <v>South</v>
      </c>
      <c r="E423" s="2" t="str">
        <f t="shared" ca="1" si="75"/>
        <v>Tamil Nadu</v>
      </c>
      <c r="F423" s="2" t="str">
        <f t="shared" ca="1" si="76"/>
        <v>HR</v>
      </c>
      <c r="G423" s="2" t="str">
        <f t="shared" ca="1" si="77"/>
        <v>Analyst</v>
      </c>
      <c r="H423" s="2" t="str">
        <f t="shared" ca="1" si="78"/>
        <v>Clothing</v>
      </c>
      <c r="I423" s="2">
        <f t="shared" ca="1" si="79"/>
        <v>99</v>
      </c>
      <c r="J423" s="2">
        <f t="shared" ca="1" si="80"/>
        <v>94050</v>
      </c>
      <c r="K423" s="2">
        <f t="shared" ca="1" si="81"/>
        <v>-2821.5</v>
      </c>
      <c r="L423" s="2">
        <f t="shared" ca="1" si="82"/>
        <v>14108</v>
      </c>
      <c r="M423" s="2" t="str">
        <f t="shared" ca="1" si="83"/>
        <v>Yes</v>
      </c>
    </row>
    <row r="424" spans="1:13" x14ac:dyDescent="0.25">
      <c r="A424" s="2" t="str">
        <f t="shared" si="72"/>
        <v>E423</v>
      </c>
      <c r="B424" s="2" t="s">
        <v>377</v>
      </c>
      <c r="C424" s="2" t="str">
        <f t="shared" ca="1" si="73"/>
        <v>Jul</v>
      </c>
      <c r="D424" s="2" t="str">
        <f t="shared" ca="1" si="74"/>
        <v>East</v>
      </c>
      <c r="E424" s="2" t="str">
        <f t="shared" ca="1" si="75"/>
        <v>Tamil Nadu</v>
      </c>
      <c r="F424" s="2" t="str">
        <f t="shared" ca="1" si="76"/>
        <v>Operations</v>
      </c>
      <c r="G424" s="2" t="str">
        <f t="shared" ca="1" si="77"/>
        <v>Analyst</v>
      </c>
      <c r="H424" s="2" t="str">
        <f t="shared" ca="1" si="78"/>
        <v>Books</v>
      </c>
      <c r="I424" s="2">
        <f t="shared" ca="1" si="79"/>
        <v>19</v>
      </c>
      <c r="J424" s="2">
        <f t="shared" ca="1" si="80"/>
        <v>5016</v>
      </c>
      <c r="K424" s="2">
        <f t="shared" ca="1" si="81"/>
        <v>702.24</v>
      </c>
      <c r="L424" s="2">
        <f t="shared" ca="1" si="82"/>
        <v>29059</v>
      </c>
      <c r="M424" s="2" t="str">
        <f t="shared" ca="1" si="83"/>
        <v>No</v>
      </c>
    </row>
    <row r="425" spans="1:13" x14ac:dyDescent="0.25">
      <c r="A425" s="2" t="str">
        <f t="shared" si="72"/>
        <v>E424</v>
      </c>
      <c r="B425" s="2" t="s">
        <v>378</v>
      </c>
      <c r="C425" s="2" t="str">
        <f t="shared" ca="1" si="73"/>
        <v>Aug</v>
      </c>
      <c r="D425" s="2" t="str">
        <f t="shared" ca="1" si="74"/>
        <v>South</v>
      </c>
      <c r="E425" s="2" t="str">
        <f t="shared" ca="1" si="75"/>
        <v>Gujarat</v>
      </c>
      <c r="F425" s="2" t="str">
        <f t="shared" ca="1" si="76"/>
        <v>HR</v>
      </c>
      <c r="G425" s="2" t="str">
        <f t="shared" ca="1" si="77"/>
        <v>Supervisor</v>
      </c>
      <c r="H425" s="2" t="str">
        <f t="shared" ca="1" si="78"/>
        <v>Shoes</v>
      </c>
      <c r="I425" s="2">
        <f t="shared" ca="1" si="79"/>
        <v>36</v>
      </c>
      <c r="J425" s="2">
        <f t="shared" ca="1" si="80"/>
        <v>24336</v>
      </c>
      <c r="K425" s="2">
        <f t="shared" ca="1" si="81"/>
        <v>-730.08</v>
      </c>
      <c r="L425" s="2">
        <f t="shared" ca="1" si="82"/>
        <v>26561</v>
      </c>
      <c r="M425" s="2" t="str">
        <f t="shared" ca="1" si="83"/>
        <v>No</v>
      </c>
    </row>
    <row r="426" spans="1:13" x14ac:dyDescent="0.25">
      <c r="A426" s="2" t="str">
        <f t="shared" si="72"/>
        <v>E425</v>
      </c>
      <c r="B426" s="2" t="s">
        <v>379</v>
      </c>
      <c r="C426" s="2" t="str">
        <f t="shared" ca="1" si="73"/>
        <v>Jul</v>
      </c>
      <c r="D426" s="2" t="str">
        <f t="shared" ca="1" si="74"/>
        <v>East</v>
      </c>
      <c r="E426" s="2" t="str">
        <f t="shared" ca="1" si="75"/>
        <v>Delhi</v>
      </c>
      <c r="F426" s="2" t="str">
        <f t="shared" ca="1" si="76"/>
        <v>Operations</v>
      </c>
      <c r="G426" s="2" t="str">
        <f t="shared" ca="1" si="77"/>
        <v>Executive</v>
      </c>
      <c r="H426" s="2" t="str">
        <f t="shared" ca="1" si="78"/>
        <v>Shoes</v>
      </c>
      <c r="I426" s="2">
        <f t="shared" ca="1" si="79"/>
        <v>67</v>
      </c>
      <c r="J426" s="2">
        <f t="shared" ca="1" si="80"/>
        <v>66665</v>
      </c>
      <c r="K426" s="2">
        <f t="shared" ca="1" si="81"/>
        <v>11333.05</v>
      </c>
      <c r="L426" s="2">
        <f t="shared" ca="1" si="82"/>
        <v>41630</v>
      </c>
      <c r="M426" s="2" t="str">
        <f t="shared" ca="1" si="83"/>
        <v>Yes</v>
      </c>
    </row>
    <row r="427" spans="1:13" x14ac:dyDescent="0.25">
      <c r="A427" s="2" t="str">
        <f t="shared" si="72"/>
        <v>E426</v>
      </c>
      <c r="B427" s="2" t="s">
        <v>380</v>
      </c>
      <c r="C427" s="2" t="str">
        <f t="shared" ca="1" si="73"/>
        <v>Aug</v>
      </c>
      <c r="D427" s="2" t="str">
        <f t="shared" ca="1" si="74"/>
        <v>West</v>
      </c>
      <c r="E427" s="2" t="str">
        <f t="shared" ca="1" si="75"/>
        <v>Delhi</v>
      </c>
      <c r="F427" s="2" t="str">
        <f t="shared" ca="1" si="76"/>
        <v>Customer Support</v>
      </c>
      <c r="G427" s="2" t="str">
        <f t="shared" ca="1" si="77"/>
        <v>Analyst</v>
      </c>
      <c r="H427" s="2" t="str">
        <f t="shared" ca="1" si="78"/>
        <v>Books</v>
      </c>
      <c r="I427" s="2">
        <f t="shared" ca="1" si="79"/>
        <v>13</v>
      </c>
      <c r="J427" s="2">
        <f t="shared" ca="1" si="80"/>
        <v>7787</v>
      </c>
      <c r="K427" s="2">
        <f t="shared" ca="1" si="81"/>
        <v>934.44</v>
      </c>
      <c r="L427" s="2">
        <f t="shared" ca="1" si="82"/>
        <v>17278</v>
      </c>
      <c r="M427" s="2" t="str">
        <f t="shared" ca="1" si="83"/>
        <v>No</v>
      </c>
    </row>
    <row r="428" spans="1:13" x14ac:dyDescent="0.25">
      <c r="A428" s="2" t="str">
        <f t="shared" si="72"/>
        <v>E427</v>
      </c>
      <c r="B428" s="2" t="s">
        <v>381</v>
      </c>
      <c r="C428" s="2" t="str">
        <f t="shared" ca="1" si="73"/>
        <v>Feb</v>
      </c>
      <c r="D428" s="2" t="str">
        <f t="shared" ca="1" si="74"/>
        <v>South</v>
      </c>
      <c r="E428" s="2" t="str">
        <f t="shared" ca="1" si="75"/>
        <v>Tamil Nadu</v>
      </c>
      <c r="F428" s="2" t="str">
        <f t="shared" ca="1" si="76"/>
        <v>Operations</v>
      </c>
      <c r="G428" s="2" t="str">
        <f t="shared" ca="1" si="77"/>
        <v>Analyst</v>
      </c>
      <c r="H428" s="2" t="str">
        <f t="shared" ca="1" si="78"/>
        <v>Shoes</v>
      </c>
      <c r="I428" s="2">
        <f t="shared" ca="1" si="79"/>
        <v>80</v>
      </c>
      <c r="J428" s="2">
        <f t="shared" ca="1" si="80"/>
        <v>48560</v>
      </c>
      <c r="K428" s="2">
        <f t="shared" ca="1" si="81"/>
        <v>971.2</v>
      </c>
      <c r="L428" s="2">
        <f t="shared" ca="1" si="82"/>
        <v>30297</v>
      </c>
      <c r="M428" s="2" t="str">
        <f t="shared" ca="1" si="83"/>
        <v>Yes</v>
      </c>
    </row>
    <row r="429" spans="1:13" x14ac:dyDescent="0.25">
      <c r="A429" s="2" t="str">
        <f t="shared" si="72"/>
        <v>E428</v>
      </c>
      <c r="B429" s="2" t="s">
        <v>382</v>
      </c>
      <c r="C429" s="2" t="str">
        <f t="shared" ca="1" si="73"/>
        <v>Oct</v>
      </c>
      <c r="D429" s="2" t="str">
        <f t="shared" ca="1" si="74"/>
        <v>South</v>
      </c>
      <c r="E429" s="2" t="str">
        <f t="shared" ca="1" si="75"/>
        <v>Madhya Pradesh</v>
      </c>
      <c r="F429" s="2" t="str">
        <f t="shared" ca="1" si="76"/>
        <v>Sales</v>
      </c>
      <c r="G429" s="2" t="str">
        <f t="shared" ca="1" si="77"/>
        <v>Supervisor</v>
      </c>
      <c r="H429" s="2" t="str">
        <f t="shared" ca="1" si="78"/>
        <v>Shoes</v>
      </c>
      <c r="I429" s="2">
        <f t="shared" ca="1" si="79"/>
        <v>72</v>
      </c>
      <c r="J429" s="2">
        <f t="shared" ca="1" si="80"/>
        <v>61560</v>
      </c>
      <c r="K429" s="2">
        <f t="shared" ca="1" si="81"/>
        <v>-4924.8</v>
      </c>
      <c r="L429" s="2">
        <f t="shared" ca="1" si="82"/>
        <v>16926</v>
      </c>
      <c r="M429" s="2" t="str">
        <f t="shared" ca="1" si="83"/>
        <v>Yes</v>
      </c>
    </row>
    <row r="430" spans="1:13" x14ac:dyDescent="0.25">
      <c r="A430" s="2" t="str">
        <f t="shared" si="72"/>
        <v>E429</v>
      </c>
      <c r="B430" s="2" t="s">
        <v>44</v>
      </c>
      <c r="C430" s="2" t="str">
        <f t="shared" ca="1" si="73"/>
        <v>Sep</v>
      </c>
      <c r="D430" s="2" t="str">
        <f t="shared" ca="1" si="74"/>
        <v>East</v>
      </c>
      <c r="E430" s="2" t="str">
        <f t="shared" ca="1" si="75"/>
        <v>Madhya Pradesh</v>
      </c>
      <c r="F430" s="2" t="str">
        <f t="shared" ca="1" si="76"/>
        <v>Sales</v>
      </c>
      <c r="G430" s="2" t="str">
        <f t="shared" ca="1" si="77"/>
        <v>Supervisor</v>
      </c>
      <c r="H430" s="2" t="str">
        <f t="shared" ca="1" si="78"/>
        <v>Books</v>
      </c>
      <c r="I430" s="2">
        <f t="shared" ca="1" si="79"/>
        <v>37</v>
      </c>
      <c r="J430" s="2">
        <f t="shared" ca="1" si="80"/>
        <v>31006</v>
      </c>
      <c r="K430" s="2">
        <f t="shared" ca="1" si="81"/>
        <v>4960.96</v>
      </c>
      <c r="L430" s="2">
        <f t="shared" ca="1" si="82"/>
        <v>16589</v>
      </c>
      <c r="M430" s="2" t="str">
        <f t="shared" ca="1" si="83"/>
        <v>Yes</v>
      </c>
    </row>
    <row r="431" spans="1:13" x14ac:dyDescent="0.25">
      <c r="A431" s="2" t="str">
        <f t="shared" si="72"/>
        <v>E430</v>
      </c>
      <c r="B431" s="2" t="s">
        <v>383</v>
      </c>
      <c r="C431" s="2" t="str">
        <f t="shared" ca="1" si="73"/>
        <v>Aug</v>
      </c>
      <c r="D431" s="2" t="str">
        <f t="shared" ca="1" si="74"/>
        <v>East</v>
      </c>
      <c r="E431" s="2" t="str">
        <f t="shared" ca="1" si="75"/>
        <v>Gujarat</v>
      </c>
      <c r="F431" s="2" t="str">
        <f t="shared" ca="1" si="76"/>
        <v>Operations</v>
      </c>
      <c r="G431" s="2" t="str">
        <f t="shared" ca="1" si="77"/>
        <v>Specialist</v>
      </c>
      <c r="H431" s="2" t="str">
        <f t="shared" ca="1" si="78"/>
        <v>Electronics</v>
      </c>
      <c r="I431" s="2">
        <f t="shared" ca="1" si="79"/>
        <v>84</v>
      </c>
      <c r="J431" s="2">
        <f t="shared" ca="1" si="80"/>
        <v>77112</v>
      </c>
      <c r="K431" s="2">
        <f t="shared" ca="1" si="81"/>
        <v>771.12</v>
      </c>
      <c r="L431" s="2">
        <f t="shared" ca="1" si="82"/>
        <v>25939</v>
      </c>
      <c r="M431" s="2" t="str">
        <f t="shared" ca="1" si="83"/>
        <v>Yes</v>
      </c>
    </row>
    <row r="432" spans="1:13" x14ac:dyDescent="0.25">
      <c r="A432" s="2" t="str">
        <f t="shared" si="72"/>
        <v>E431</v>
      </c>
      <c r="B432" s="2" t="s">
        <v>384</v>
      </c>
      <c r="C432" s="2" t="str">
        <f t="shared" ca="1" si="73"/>
        <v>Dec</v>
      </c>
      <c r="D432" s="2" t="str">
        <f t="shared" ca="1" si="74"/>
        <v>West</v>
      </c>
      <c r="E432" s="2" t="str">
        <f t="shared" ca="1" si="75"/>
        <v>Punjab</v>
      </c>
      <c r="F432" s="2" t="str">
        <f t="shared" ca="1" si="76"/>
        <v>Operations</v>
      </c>
      <c r="G432" s="2" t="str">
        <f t="shared" ca="1" si="77"/>
        <v>Supervisor</v>
      </c>
      <c r="H432" s="2" t="str">
        <f t="shared" ca="1" si="78"/>
        <v>Shoes</v>
      </c>
      <c r="I432" s="2">
        <f t="shared" ca="1" si="79"/>
        <v>35</v>
      </c>
      <c r="J432" s="2">
        <f t="shared" ca="1" si="80"/>
        <v>25795</v>
      </c>
      <c r="K432" s="2">
        <f t="shared" ca="1" si="81"/>
        <v>-2579.5</v>
      </c>
      <c r="L432" s="2">
        <f t="shared" ca="1" si="82"/>
        <v>28694</v>
      </c>
      <c r="M432" s="2" t="str">
        <f t="shared" ca="1" si="83"/>
        <v>No</v>
      </c>
    </row>
    <row r="433" spans="1:13" x14ac:dyDescent="0.25">
      <c r="A433" s="2" t="str">
        <f t="shared" si="72"/>
        <v>E432</v>
      </c>
      <c r="B433" s="2" t="s">
        <v>18</v>
      </c>
      <c r="C433" s="2" t="str">
        <f t="shared" ca="1" si="73"/>
        <v>Oct</v>
      </c>
      <c r="D433" s="2" t="str">
        <f t="shared" ca="1" si="74"/>
        <v>North</v>
      </c>
      <c r="E433" s="2" t="str">
        <f t="shared" ca="1" si="75"/>
        <v>West Bengal</v>
      </c>
      <c r="F433" s="2" t="str">
        <f t="shared" ca="1" si="76"/>
        <v>Customer Support</v>
      </c>
      <c r="G433" s="2" t="str">
        <f t="shared" ca="1" si="77"/>
        <v>Analyst</v>
      </c>
      <c r="H433" s="2" t="str">
        <f t="shared" ca="1" si="78"/>
        <v>Shoes</v>
      </c>
      <c r="I433" s="2">
        <f t="shared" ca="1" si="79"/>
        <v>36</v>
      </c>
      <c r="J433" s="2">
        <f t="shared" ca="1" si="80"/>
        <v>32436</v>
      </c>
      <c r="K433" s="2">
        <f t="shared" ca="1" si="81"/>
        <v>-3243.6</v>
      </c>
      <c r="L433" s="2">
        <f t="shared" ca="1" si="82"/>
        <v>26363</v>
      </c>
      <c r="M433" s="2" t="str">
        <f t="shared" ca="1" si="83"/>
        <v>Yes</v>
      </c>
    </row>
    <row r="434" spans="1:13" x14ac:dyDescent="0.25">
      <c r="A434" s="2" t="str">
        <f t="shared" si="72"/>
        <v>E433</v>
      </c>
      <c r="B434" s="2" t="s">
        <v>385</v>
      </c>
      <c r="C434" s="2" t="str">
        <f t="shared" ca="1" si="73"/>
        <v>Dec</v>
      </c>
      <c r="D434" s="2" t="str">
        <f t="shared" ca="1" si="74"/>
        <v>West</v>
      </c>
      <c r="E434" s="2" t="str">
        <f t="shared" ca="1" si="75"/>
        <v>West Bengal</v>
      </c>
      <c r="F434" s="2" t="str">
        <f t="shared" ca="1" si="76"/>
        <v>Marketing</v>
      </c>
      <c r="G434" s="2" t="str">
        <f t="shared" ca="1" si="77"/>
        <v>Analyst</v>
      </c>
      <c r="H434" s="2" t="str">
        <f t="shared" ca="1" si="78"/>
        <v>Shoes</v>
      </c>
      <c r="I434" s="2">
        <f t="shared" ca="1" si="79"/>
        <v>27</v>
      </c>
      <c r="J434" s="2">
        <f t="shared" ca="1" si="80"/>
        <v>14094</v>
      </c>
      <c r="K434" s="2">
        <f t="shared" ca="1" si="81"/>
        <v>1409.4</v>
      </c>
      <c r="L434" s="2">
        <f t="shared" ca="1" si="82"/>
        <v>29917</v>
      </c>
      <c r="M434" s="2" t="str">
        <f t="shared" ca="1" si="83"/>
        <v>No</v>
      </c>
    </row>
    <row r="435" spans="1:13" x14ac:dyDescent="0.25">
      <c r="A435" s="2" t="str">
        <f t="shared" si="72"/>
        <v>E434</v>
      </c>
      <c r="B435" s="2" t="s">
        <v>47</v>
      </c>
      <c r="C435" s="2" t="str">
        <f t="shared" ca="1" si="73"/>
        <v>Sep</v>
      </c>
      <c r="D435" s="2" t="str">
        <f t="shared" ca="1" si="74"/>
        <v>North</v>
      </c>
      <c r="E435" s="2" t="str">
        <f t="shared" ca="1" si="75"/>
        <v>Tamil Nadu</v>
      </c>
      <c r="F435" s="2" t="str">
        <f t="shared" ca="1" si="76"/>
        <v>Customer Support</v>
      </c>
      <c r="G435" s="2" t="str">
        <f t="shared" ca="1" si="77"/>
        <v>Specialist</v>
      </c>
      <c r="H435" s="2" t="str">
        <f t="shared" ca="1" si="78"/>
        <v>Books</v>
      </c>
      <c r="I435" s="2">
        <f t="shared" ca="1" si="79"/>
        <v>9</v>
      </c>
      <c r="J435" s="2">
        <f t="shared" ca="1" si="80"/>
        <v>6390</v>
      </c>
      <c r="K435" s="2">
        <f t="shared" ca="1" si="81"/>
        <v>-447.3</v>
      </c>
      <c r="L435" s="2">
        <f t="shared" ca="1" si="82"/>
        <v>37179</v>
      </c>
      <c r="M435" s="2" t="str">
        <f t="shared" ca="1" si="83"/>
        <v>No</v>
      </c>
    </row>
    <row r="436" spans="1:13" x14ac:dyDescent="0.25">
      <c r="A436" s="2" t="str">
        <f t="shared" si="72"/>
        <v>E435</v>
      </c>
      <c r="B436" s="2" t="s">
        <v>386</v>
      </c>
      <c r="C436" s="2" t="str">
        <f t="shared" ca="1" si="73"/>
        <v>Oct</v>
      </c>
      <c r="D436" s="2" t="str">
        <f t="shared" ca="1" si="74"/>
        <v>East</v>
      </c>
      <c r="E436" s="2" t="str">
        <f t="shared" ca="1" si="75"/>
        <v>Punjab</v>
      </c>
      <c r="F436" s="2" t="str">
        <f t="shared" ca="1" si="76"/>
        <v>Customer Support</v>
      </c>
      <c r="G436" s="2" t="str">
        <f t="shared" ca="1" si="77"/>
        <v>Specialist</v>
      </c>
      <c r="H436" s="2" t="str">
        <f t="shared" ca="1" si="78"/>
        <v>Clothing</v>
      </c>
      <c r="I436" s="2">
        <f t="shared" ca="1" si="79"/>
        <v>65</v>
      </c>
      <c r="J436" s="2">
        <f t="shared" ca="1" si="80"/>
        <v>49530</v>
      </c>
      <c r="K436" s="2">
        <f t="shared" ca="1" si="81"/>
        <v>7924.8</v>
      </c>
      <c r="L436" s="2">
        <f t="shared" ca="1" si="82"/>
        <v>40394</v>
      </c>
      <c r="M436" s="2" t="str">
        <f t="shared" ca="1" si="83"/>
        <v>Yes</v>
      </c>
    </row>
    <row r="437" spans="1:13" x14ac:dyDescent="0.25">
      <c r="A437" s="2" t="str">
        <f t="shared" si="72"/>
        <v>E436</v>
      </c>
      <c r="B437" s="2" t="s">
        <v>387</v>
      </c>
      <c r="C437" s="2" t="str">
        <f t="shared" ca="1" si="73"/>
        <v>May</v>
      </c>
      <c r="D437" s="2" t="str">
        <f t="shared" ca="1" si="74"/>
        <v>South</v>
      </c>
      <c r="E437" s="2" t="str">
        <f t="shared" ca="1" si="75"/>
        <v>Madhya Pradesh</v>
      </c>
      <c r="F437" s="2" t="str">
        <f t="shared" ca="1" si="76"/>
        <v>HR</v>
      </c>
      <c r="G437" s="2" t="str">
        <f t="shared" ca="1" si="77"/>
        <v>Specialist</v>
      </c>
      <c r="H437" s="2" t="str">
        <f t="shared" ca="1" si="78"/>
        <v>Clothing</v>
      </c>
      <c r="I437" s="2">
        <f t="shared" ca="1" si="79"/>
        <v>56</v>
      </c>
      <c r="J437" s="2">
        <f t="shared" ca="1" si="80"/>
        <v>27552</v>
      </c>
      <c r="K437" s="2">
        <f t="shared" ca="1" si="81"/>
        <v>-826.56</v>
      </c>
      <c r="L437" s="2">
        <f t="shared" ca="1" si="82"/>
        <v>10366</v>
      </c>
      <c r="M437" s="2" t="str">
        <f t="shared" ca="1" si="83"/>
        <v>Yes</v>
      </c>
    </row>
    <row r="438" spans="1:13" x14ac:dyDescent="0.25">
      <c r="A438" s="2" t="str">
        <f t="shared" si="72"/>
        <v>E437</v>
      </c>
      <c r="B438" s="2" t="s">
        <v>388</v>
      </c>
      <c r="C438" s="2" t="str">
        <f t="shared" ca="1" si="73"/>
        <v>May</v>
      </c>
      <c r="D438" s="2" t="str">
        <f t="shared" ca="1" si="74"/>
        <v>West</v>
      </c>
      <c r="E438" s="2" t="str">
        <f t="shared" ca="1" si="75"/>
        <v>West Bengal</v>
      </c>
      <c r="F438" s="2" t="str">
        <f t="shared" ca="1" si="76"/>
        <v>Marketing</v>
      </c>
      <c r="G438" s="2" t="str">
        <f t="shared" ca="1" si="77"/>
        <v>Specialist</v>
      </c>
      <c r="H438" s="2" t="str">
        <f t="shared" ca="1" si="78"/>
        <v>Books</v>
      </c>
      <c r="I438" s="2">
        <f t="shared" ca="1" si="79"/>
        <v>86</v>
      </c>
      <c r="J438" s="2">
        <f t="shared" ca="1" si="80"/>
        <v>70434</v>
      </c>
      <c r="K438" s="2">
        <f t="shared" ca="1" si="81"/>
        <v>-6339.06</v>
      </c>
      <c r="L438" s="2">
        <f t="shared" ca="1" si="82"/>
        <v>21312</v>
      </c>
      <c r="M438" s="2" t="str">
        <f t="shared" ca="1" si="83"/>
        <v>Yes</v>
      </c>
    </row>
    <row r="439" spans="1:13" x14ac:dyDescent="0.25">
      <c r="A439" s="2" t="str">
        <f t="shared" si="72"/>
        <v>E438</v>
      </c>
      <c r="B439" s="2" t="s">
        <v>389</v>
      </c>
      <c r="C439" s="2" t="str">
        <f t="shared" ca="1" si="73"/>
        <v>Mar</v>
      </c>
      <c r="D439" s="2" t="str">
        <f t="shared" ca="1" si="74"/>
        <v>South</v>
      </c>
      <c r="E439" s="2" t="str">
        <f t="shared" ca="1" si="75"/>
        <v>West Bengal</v>
      </c>
      <c r="F439" s="2" t="str">
        <f t="shared" ca="1" si="76"/>
        <v>Customer Support</v>
      </c>
      <c r="G439" s="2" t="str">
        <f t="shared" ca="1" si="77"/>
        <v>Supervisor</v>
      </c>
      <c r="H439" s="2" t="str">
        <f t="shared" ca="1" si="78"/>
        <v>Electronics</v>
      </c>
      <c r="I439" s="2">
        <f t="shared" ca="1" si="79"/>
        <v>68</v>
      </c>
      <c r="J439" s="2">
        <f t="shared" ca="1" si="80"/>
        <v>61880</v>
      </c>
      <c r="K439" s="2">
        <f t="shared" ca="1" si="81"/>
        <v>-4950.3999999999996</v>
      </c>
      <c r="L439" s="2">
        <f t="shared" ca="1" si="82"/>
        <v>29063</v>
      </c>
      <c r="M439" s="2" t="str">
        <f t="shared" ca="1" si="83"/>
        <v>Yes</v>
      </c>
    </row>
    <row r="440" spans="1:13" x14ac:dyDescent="0.25">
      <c r="A440" s="2" t="str">
        <f t="shared" si="72"/>
        <v>E439</v>
      </c>
      <c r="B440" s="2" t="s">
        <v>390</v>
      </c>
      <c r="C440" s="2" t="str">
        <f t="shared" ca="1" si="73"/>
        <v>Feb</v>
      </c>
      <c r="D440" s="2" t="str">
        <f t="shared" ca="1" si="74"/>
        <v>West</v>
      </c>
      <c r="E440" s="2" t="str">
        <f t="shared" ca="1" si="75"/>
        <v>Delhi</v>
      </c>
      <c r="F440" s="2" t="str">
        <f t="shared" ca="1" si="76"/>
        <v>Customer Support</v>
      </c>
      <c r="G440" s="2" t="str">
        <f t="shared" ca="1" si="77"/>
        <v>Executive</v>
      </c>
      <c r="H440" s="2" t="str">
        <f t="shared" ca="1" si="78"/>
        <v>Shoes</v>
      </c>
      <c r="I440" s="2">
        <f t="shared" ca="1" si="79"/>
        <v>57</v>
      </c>
      <c r="J440" s="2">
        <f t="shared" ca="1" si="80"/>
        <v>37278</v>
      </c>
      <c r="K440" s="2">
        <f t="shared" ca="1" si="81"/>
        <v>6337.26</v>
      </c>
      <c r="L440" s="2">
        <f t="shared" ca="1" si="82"/>
        <v>15939</v>
      </c>
      <c r="M440" s="2" t="str">
        <f t="shared" ca="1" si="83"/>
        <v>Yes</v>
      </c>
    </row>
    <row r="441" spans="1:13" x14ac:dyDescent="0.25">
      <c r="A441" s="2" t="str">
        <f t="shared" si="72"/>
        <v>E440</v>
      </c>
      <c r="B441" s="2" t="s">
        <v>164</v>
      </c>
      <c r="C441" s="2" t="str">
        <f t="shared" ca="1" si="73"/>
        <v>Sep</v>
      </c>
      <c r="D441" s="2" t="str">
        <f t="shared" ca="1" si="74"/>
        <v>West</v>
      </c>
      <c r="E441" s="2" t="str">
        <f t="shared" ca="1" si="75"/>
        <v>Delhi</v>
      </c>
      <c r="F441" s="2" t="str">
        <f t="shared" ca="1" si="76"/>
        <v>Operations</v>
      </c>
      <c r="G441" s="2" t="str">
        <f t="shared" ca="1" si="77"/>
        <v>Supervisor</v>
      </c>
      <c r="H441" s="2" t="str">
        <f t="shared" ca="1" si="78"/>
        <v>Shoes</v>
      </c>
      <c r="I441" s="2">
        <f t="shared" ca="1" si="79"/>
        <v>95</v>
      </c>
      <c r="J441" s="2">
        <f t="shared" ca="1" si="80"/>
        <v>78470</v>
      </c>
      <c r="K441" s="2">
        <f t="shared" ca="1" si="81"/>
        <v>19617.5</v>
      </c>
      <c r="L441" s="2">
        <f t="shared" ca="1" si="82"/>
        <v>33565</v>
      </c>
      <c r="M441" s="2" t="str">
        <f t="shared" ca="1" si="83"/>
        <v>Yes</v>
      </c>
    </row>
    <row r="442" spans="1:13" x14ac:dyDescent="0.25">
      <c r="A442" s="2" t="str">
        <f t="shared" si="72"/>
        <v>E441</v>
      </c>
      <c r="B442" s="2" t="s">
        <v>391</v>
      </c>
      <c r="C442" s="2" t="str">
        <f t="shared" ca="1" si="73"/>
        <v>Nov</v>
      </c>
      <c r="D442" s="2" t="str">
        <f t="shared" ca="1" si="74"/>
        <v>South</v>
      </c>
      <c r="E442" s="2" t="str">
        <f t="shared" ca="1" si="75"/>
        <v>Gujarat</v>
      </c>
      <c r="F442" s="2" t="str">
        <f t="shared" ca="1" si="76"/>
        <v>Finance</v>
      </c>
      <c r="G442" s="2" t="str">
        <f t="shared" ca="1" si="77"/>
        <v>Executive</v>
      </c>
      <c r="H442" s="2" t="str">
        <f t="shared" ca="1" si="78"/>
        <v>Electronics</v>
      </c>
      <c r="I442" s="2">
        <f t="shared" ca="1" si="79"/>
        <v>100</v>
      </c>
      <c r="J442" s="2">
        <f t="shared" ca="1" si="80"/>
        <v>62300</v>
      </c>
      <c r="K442" s="2">
        <f t="shared" ca="1" si="81"/>
        <v>-6230</v>
      </c>
      <c r="L442" s="2">
        <f t="shared" ca="1" si="82"/>
        <v>33465</v>
      </c>
      <c r="M442" s="2" t="str">
        <f t="shared" ca="1" si="83"/>
        <v>Yes</v>
      </c>
    </row>
    <row r="443" spans="1:13" x14ac:dyDescent="0.25">
      <c r="A443" s="2" t="str">
        <f t="shared" si="72"/>
        <v>E442</v>
      </c>
      <c r="B443" s="2" t="s">
        <v>392</v>
      </c>
      <c r="C443" s="2" t="str">
        <f t="shared" ca="1" si="73"/>
        <v>Aug</v>
      </c>
      <c r="D443" s="2" t="str">
        <f t="shared" ca="1" si="74"/>
        <v>East</v>
      </c>
      <c r="E443" s="2" t="str">
        <f t="shared" ca="1" si="75"/>
        <v>Delhi</v>
      </c>
      <c r="F443" s="2" t="str">
        <f t="shared" ca="1" si="76"/>
        <v>Operations</v>
      </c>
      <c r="G443" s="2" t="str">
        <f t="shared" ca="1" si="77"/>
        <v>Specialist</v>
      </c>
      <c r="H443" s="2" t="str">
        <f t="shared" ca="1" si="78"/>
        <v>Clothing</v>
      </c>
      <c r="I443" s="2">
        <f t="shared" ca="1" si="79"/>
        <v>41</v>
      </c>
      <c r="J443" s="2">
        <f t="shared" ca="1" si="80"/>
        <v>39934</v>
      </c>
      <c r="K443" s="2">
        <f t="shared" ca="1" si="81"/>
        <v>-1597.36</v>
      </c>
      <c r="L443" s="2">
        <f t="shared" ca="1" si="82"/>
        <v>38074</v>
      </c>
      <c r="M443" s="2" t="str">
        <f t="shared" ca="1" si="83"/>
        <v>Yes</v>
      </c>
    </row>
    <row r="444" spans="1:13" x14ac:dyDescent="0.25">
      <c r="A444" s="2" t="str">
        <f t="shared" si="72"/>
        <v>E443</v>
      </c>
      <c r="B444" s="2" t="s">
        <v>393</v>
      </c>
      <c r="C444" s="2" t="str">
        <f t="shared" ca="1" si="73"/>
        <v>Oct</v>
      </c>
      <c r="D444" s="2" t="str">
        <f t="shared" ca="1" si="74"/>
        <v>West</v>
      </c>
      <c r="E444" s="2" t="str">
        <f t="shared" ca="1" si="75"/>
        <v>Delhi</v>
      </c>
      <c r="F444" s="2" t="str">
        <f t="shared" ca="1" si="76"/>
        <v>Finance</v>
      </c>
      <c r="G444" s="2" t="str">
        <f t="shared" ca="1" si="77"/>
        <v>Executive</v>
      </c>
      <c r="H444" s="2" t="str">
        <f t="shared" ca="1" si="78"/>
        <v>Books</v>
      </c>
      <c r="I444" s="2">
        <f t="shared" ca="1" si="79"/>
        <v>55</v>
      </c>
      <c r="J444" s="2">
        <f t="shared" ca="1" si="80"/>
        <v>47685</v>
      </c>
      <c r="K444" s="2">
        <f t="shared" ca="1" si="81"/>
        <v>7152.75</v>
      </c>
      <c r="L444" s="2">
        <f t="shared" ca="1" si="82"/>
        <v>43635</v>
      </c>
      <c r="M444" s="2" t="str">
        <f t="shared" ca="1" si="83"/>
        <v>Yes</v>
      </c>
    </row>
    <row r="445" spans="1:13" x14ac:dyDescent="0.25">
      <c r="A445" s="2" t="str">
        <f t="shared" si="72"/>
        <v>E444</v>
      </c>
      <c r="B445" s="2" t="s">
        <v>394</v>
      </c>
      <c r="C445" s="2" t="str">
        <f t="shared" ca="1" si="73"/>
        <v>Apr</v>
      </c>
      <c r="D445" s="2" t="str">
        <f t="shared" ca="1" si="74"/>
        <v>North</v>
      </c>
      <c r="E445" s="2" t="str">
        <f t="shared" ca="1" si="75"/>
        <v>Madhya Pradesh</v>
      </c>
      <c r="F445" s="2" t="str">
        <f t="shared" ca="1" si="76"/>
        <v>Sales</v>
      </c>
      <c r="G445" s="2" t="str">
        <f t="shared" ca="1" si="77"/>
        <v>Supervisor</v>
      </c>
      <c r="H445" s="2" t="str">
        <f t="shared" ca="1" si="78"/>
        <v>Books</v>
      </c>
      <c r="I445" s="2">
        <f t="shared" ca="1" si="79"/>
        <v>35</v>
      </c>
      <c r="J445" s="2">
        <f t="shared" ca="1" si="80"/>
        <v>21455</v>
      </c>
      <c r="K445" s="2">
        <f t="shared" ca="1" si="81"/>
        <v>429.1</v>
      </c>
      <c r="L445" s="2">
        <f t="shared" ca="1" si="82"/>
        <v>16513</v>
      </c>
      <c r="M445" s="2" t="str">
        <f t="shared" ca="1" si="83"/>
        <v>Yes</v>
      </c>
    </row>
    <row r="446" spans="1:13" x14ac:dyDescent="0.25">
      <c r="A446" s="2" t="str">
        <f t="shared" si="72"/>
        <v>E445</v>
      </c>
      <c r="B446" s="2" t="s">
        <v>21</v>
      </c>
      <c r="C446" s="2" t="str">
        <f t="shared" ca="1" si="73"/>
        <v>Feb</v>
      </c>
      <c r="D446" s="2" t="str">
        <f t="shared" ca="1" si="74"/>
        <v>East</v>
      </c>
      <c r="E446" s="2" t="str">
        <f t="shared" ca="1" si="75"/>
        <v>Delhi</v>
      </c>
      <c r="F446" s="2" t="str">
        <f t="shared" ca="1" si="76"/>
        <v>Customer Support</v>
      </c>
      <c r="G446" s="2" t="str">
        <f t="shared" ca="1" si="77"/>
        <v>Analyst</v>
      </c>
      <c r="H446" s="2" t="str">
        <f t="shared" ca="1" si="78"/>
        <v>Books</v>
      </c>
      <c r="I446" s="2">
        <f t="shared" ca="1" si="79"/>
        <v>29</v>
      </c>
      <c r="J446" s="2">
        <f t="shared" ca="1" si="80"/>
        <v>20242</v>
      </c>
      <c r="K446" s="2">
        <f t="shared" ca="1" si="81"/>
        <v>-404.84</v>
      </c>
      <c r="L446" s="2">
        <f t="shared" ca="1" si="82"/>
        <v>35868</v>
      </c>
      <c r="M446" s="2" t="str">
        <f t="shared" ca="1" si="83"/>
        <v>No</v>
      </c>
    </row>
    <row r="447" spans="1:13" x14ac:dyDescent="0.25">
      <c r="A447" s="2" t="str">
        <f t="shared" si="72"/>
        <v>E446</v>
      </c>
      <c r="B447" s="2"/>
      <c r="C447" s="2" t="str">
        <f t="shared" ca="1" si="73"/>
        <v>Sep</v>
      </c>
      <c r="D447" s="2" t="str">
        <f t="shared" ca="1" si="74"/>
        <v>South</v>
      </c>
      <c r="E447" s="2" t="str">
        <f t="shared" ca="1" si="75"/>
        <v>Punjab</v>
      </c>
      <c r="F447" s="2" t="str">
        <f t="shared" ca="1" si="76"/>
        <v>HR</v>
      </c>
      <c r="G447" s="2" t="str">
        <f t="shared" ca="1" si="77"/>
        <v>Analyst</v>
      </c>
      <c r="H447" s="2" t="str">
        <f t="shared" ca="1" si="78"/>
        <v>Shoes</v>
      </c>
      <c r="I447" s="2">
        <f t="shared" ca="1" si="79"/>
        <v>38</v>
      </c>
      <c r="J447" s="2">
        <f t="shared" ca="1" si="80"/>
        <v>22914</v>
      </c>
      <c r="K447" s="2">
        <f t="shared" ca="1" si="81"/>
        <v>5499.36</v>
      </c>
      <c r="L447" s="2">
        <f t="shared" ca="1" si="82"/>
        <v>23723</v>
      </c>
      <c r="M447" s="2" t="str">
        <f t="shared" ca="1" si="83"/>
        <v>No</v>
      </c>
    </row>
    <row r="448" spans="1:13" x14ac:dyDescent="0.25">
      <c r="A448" s="2" t="str">
        <f t="shared" si="72"/>
        <v>E447</v>
      </c>
      <c r="B448" s="2" t="s">
        <v>395</v>
      </c>
      <c r="C448" s="2" t="str">
        <f t="shared" ca="1" si="73"/>
        <v>Sep</v>
      </c>
      <c r="D448" s="2" t="str">
        <f t="shared" ca="1" si="74"/>
        <v>East</v>
      </c>
      <c r="E448" s="2" t="str">
        <f t="shared" ca="1" si="75"/>
        <v>Gujarat</v>
      </c>
      <c r="F448" s="2" t="str">
        <f t="shared" ca="1" si="76"/>
        <v>Operations</v>
      </c>
      <c r="G448" s="2" t="str">
        <f t="shared" ca="1" si="77"/>
        <v>Analyst</v>
      </c>
      <c r="H448" s="2" t="str">
        <f t="shared" ca="1" si="78"/>
        <v>Shoes</v>
      </c>
      <c r="I448" s="2">
        <f t="shared" ca="1" si="79"/>
        <v>46</v>
      </c>
      <c r="J448" s="2">
        <f t="shared" ca="1" si="80"/>
        <v>37536</v>
      </c>
      <c r="K448" s="2">
        <f t="shared" ca="1" si="81"/>
        <v>5255.04</v>
      </c>
      <c r="L448" s="2">
        <f t="shared" ca="1" si="82"/>
        <v>18796</v>
      </c>
      <c r="M448" s="2" t="str">
        <f t="shared" ca="1" si="83"/>
        <v>Yes</v>
      </c>
    </row>
    <row r="449" spans="1:13" x14ac:dyDescent="0.25">
      <c r="A449" s="2" t="str">
        <f t="shared" si="72"/>
        <v>E448</v>
      </c>
      <c r="B449" s="2" t="s">
        <v>396</v>
      </c>
      <c r="C449" s="2" t="str">
        <f t="shared" ca="1" si="73"/>
        <v>Jun</v>
      </c>
      <c r="D449" s="2" t="str">
        <f t="shared" ca="1" si="74"/>
        <v>South</v>
      </c>
      <c r="E449" s="2" t="str">
        <f t="shared" ca="1" si="75"/>
        <v>West Bengal</v>
      </c>
      <c r="F449" s="2" t="str">
        <f t="shared" ca="1" si="76"/>
        <v>Sales</v>
      </c>
      <c r="G449" s="2" t="str">
        <f t="shared" ca="1" si="77"/>
        <v>Supervisor</v>
      </c>
      <c r="H449" s="2" t="str">
        <f t="shared" ca="1" si="78"/>
        <v>Electronics</v>
      </c>
      <c r="I449" s="2">
        <f t="shared" ca="1" si="79"/>
        <v>22</v>
      </c>
      <c r="J449" s="2">
        <f t="shared" ca="1" si="80"/>
        <v>17424</v>
      </c>
      <c r="K449" s="2">
        <f t="shared" ca="1" si="81"/>
        <v>4704.4799999999996</v>
      </c>
      <c r="L449" s="2">
        <f t="shared" ca="1" si="82"/>
        <v>31093</v>
      </c>
      <c r="M449" s="2" t="str">
        <f t="shared" ca="1" si="83"/>
        <v>No</v>
      </c>
    </row>
    <row r="450" spans="1:13" x14ac:dyDescent="0.25">
      <c r="A450" s="2" t="str">
        <f t="shared" si="72"/>
        <v>E449</v>
      </c>
      <c r="B450" s="2" t="s">
        <v>397</v>
      </c>
      <c r="C450" s="2" t="str">
        <f t="shared" ca="1" si="73"/>
        <v>Dec</v>
      </c>
      <c r="D450" s="2" t="str">
        <f t="shared" ca="1" si="74"/>
        <v>West</v>
      </c>
      <c r="E450" s="2" t="str">
        <f t="shared" ca="1" si="75"/>
        <v>Gujarat</v>
      </c>
      <c r="F450" s="2" t="str">
        <f t="shared" ca="1" si="76"/>
        <v>Sales</v>
      </c>
      <c r="G450" s="2" t="str">
        <f t="shared" ca="1" si="77"/>
        <v>Executive</v>
      </c>
      <c r="H450" s="2" t="str">
        <f t="shared" ca="1" si="78"/>
        <v>Electronics</v>
      </c>
      <c r="I450" s="2">
        <f t="shared" ca="1" si="79"/>
        <v>93</v>
      </c>
      <c r="J450" s="2">
        <f t="shared" ca="1" si="80"/>
        <v>27621</v>
      </c>
      <c r="K450" s="2">
        <f t="shared" ca="1" si="81"/>
        <v>-1657.26</v>
      </c>
      <c r="L450" s="2">
        <f t="shared" ca="1" si="82"/>
        <v>48094</v>
      </c>
      <c r="M450" s="2" t="str">
        <f t="shared" ca="1" si="83"/>
        <v>No</v>
      </c>
    </row>
    <row r="451" spans="1:13" x14ac:dyDescent="0.25">
      <c r="A451" s="2" t="str">
        <f t="shared" ref="A451:A501" si="84">"E"&amp;TEXT(ROW(A450),"000")</f>
        <v>E450</v>
      </c>
      <c r="B451" s="2" t="s">
        <v>398</v>
      </c>
      <c r="C451" s="2" t="str">
        <f t="shared" ref="C451:C501" ca="1" si="85">CHOOSE(RANDBETWEEN(1,12),"Jan","Feb","Mar","Apr","May","Jun","Jul","Aug","Sep","Oct","Nov","Dec")</f>
        <v>May</v>
      </c>
      <c r="D451" s="2" t="str">
        <f t="shared" ref="D451:D501" ca="1" si="86">CHOOSE(RANDBETWEEN(1,4),"North","South","East","West")</f>
        <v>South</v>
      </c>
      <c r="E451" s="2" t="str">
        <f t="shared" ref="E451:E501" ca="1" si="87">CHOOSE(RANDBETWEEN(1,6),"Punjab","Gujarat","Tamil Nadu","Madhya Pradesh","Delhi","West Bengal")</f>
        <v>Gujarat</v>
      </c>
      <c r="F451" s="2" t="str">
        <f t="shared" ref="F451:F501" ca="1" si="88">CHOOSE(RANDBETWEEN(1,6),"Sales","Marketing","Finance","Operations","HR","Customer Support")</f>
        <v>Sales</v>
      </c>
      <c r="G451" s="2" t="str">
        <f t="shared" ref="G451:G501" ca="1" si="89">CHOOSE(RANDBETWEEN(1,4),"Analyst","Executive","Supervisor","Specialist")</f>
        <v>Supervisor</v>
      </c>
      <c r="H451" s="2" t="str">
        <f t="shared" ref="H451:H501" ca="1" si="90">CHOOSE(RANDBETWEEN(1,4),"Clothing","Shoes","Electronics","Books")</f>
        <v>Electronics</v>
      </c>
      <c r="I451" s="2">
        <f t="shared" ref="I451:I501" ca="1" si="91">RANDBETWEEN(5,100)</f>
        <v>51</v>
      </c>
      <c r="J451" s="2">
        <f t="shared" ref="J451:J501" ca="1" si="92">I451*RANDBETWEEN(200,1000)</f>
        <v>22848</v>
      </c>
      <c r="K451" s="2">
        <f t="shared" ref="K451:K501" ca="1" si="93">J451*RANDBETWEEN(-10,30)/100</f>
        <v>2970.24</v>
      </c>
      <c r="L451" s="2">
        <f t="shared" ref="L451:L501" ca="1" si="94">RANDBETWEEN(10000,50000)</f>
        <v>21573</v>
      </c>
      <c r="M451" s="2" t="str">
        <f t="shared" ref="M451:M501" ca="1" si="95">IF(J451&gt;=L451,"Yes","No")</f>
        <v>Yes</v>
      </c>
    </row>
    <row r="452" spans="1:13" x14ac:dyDescent="0.25">
      <c r="A452" s="2" t="str">
        <f t="shared" si="84"/>
        <v>E451</v>
      </c>
      <c r="B452" s="2" t="s">
        <v>399</v>
      </c>
      <c r="C452" s="2" t="str">
        <f t="shared" ca="1" si="85"/>
        <v>Jun</v>
      </c>
      <c r="D452" s="2" t="str">
        <f t="shared" ca="1" si="86"/>
        <v>South</v>
      </c>
      <c r="E452" s="2" t="str">
        <f t="shared" ca="1" si="87"/>
        <v>Punjab</v>
      </c>
      <c r="F452" s="2" t="str">
        <f t="shared" ca="1" si="88"/>
        <v>Sales</v>
      </c>
      <c r="G452" s="2" t="str">
        <f t="shared" ca="1" si="89"/>
        <v>Specialist</v>
      </c>
      <c r="H452" s="2" t="str">
        <f t="shared" ca="1" si="90"/>
        <v>Shoes</v>
      </c>
      <c r="I452" s="2">
        <f t="shared" ca="1" si="91"/>
        <v>84</v>
      </c>
      <c r="J452" s="2">
        <f t="shared" ca="1" si="92"/>
        <v>26292</v>
      </c>
      <c r="K452" s="2">
        <f t="shared" ca="1" si="93"/>
        <v>-2103.36</v>
      </c>
      <c r="L452" s="2">
        <f t="shared" ca="1" si="94"/>
        <v>42460</v>
      </c>
      <c r="M452" s="2" t="str">
        <f t="shared" ca="1" si="95"/>
        <v>No</v>
      </c>
    </row>
    <row r="453" spans="1:13" x14ac:dyDescent="0.25">
      <c r="A453" s="2" t="str">
        <f t="shared" si="84"/>
        <v>E452</v>
      </c>
      <c r="B453" s="2" t="s">
        <v>400</v>
      </c>
      <c r="C453" s="2" t="str">
        <f t="shared" ca="1" si="85"/>
        <v>Dec</v>
      </c>
      <c r="D453" s="2" t="str">
        <f t="shared" ca="1" si="86"/>
        <v>North</v>
      </c>
      <c r="E453" s="2" t="str">
        <f t="shared" ca="1" si="87"/>
        <v>West Bengal</v>
      </c>
      <c r="F453" s="2" t="str">
        <f t="shared" ca="1" si="88"/>
        <v>Operations</v>
      </c>
      <c r="G453" s="2" t="str">
        <f t="shared" ca="1" si="89"/>
        <v>Supervisor</v>
      </c>
      <c r="H453" s="2" t="str">
        <f t="shared" ca="1" si="90"/>
        <v>Books</v>
      </c>
      <c r="I453" s="2">
        <f t="shared" ca="1" si="91"/>
        <v>96</v>
      </c>
      <c r="J453" s="2">
        <f t="shared" ca="1" si="92"/>
        <v>29472</v>
      </c>
      <c r="K453" s="2">
        <f t="shared" ca="1" si="93"/>
        <v>-1473.6</v>
      </c>
      <c r="L453" s="2">
        <f t="shared" ca="1" si="94"/>
        <v>25030</v>
      </c>
      <c r="M453" s="2" t="str">
        <f t="shared" ca="1" si="95"/>
        <v>Yes</v>
      </c>
    </row>
    <row r="454" spans="1:13" x14ac:dyDescent="0.25">
      <c r="A454" s="2" t="str">
        <f t="shared" si="84"/>
        <v>E453</v>
      </c>
      <c r="B454" s="2" t="s">
        <v>237</v>
      </c>
      <c r="C454" s="2" t="str">
        <f t="shared" ca="1" si="85"/>
        <v>Dec</v>
      </c>
      <c r="D454" s="2" t="str">
        <f t="shared" ca="1" si="86"/>
        <v>East</v>
      </c>
      <c r="E454" s="2" t="str">
        <f t="shared" ca="1" si="87"/>
        <v>Madhya Pradesh</v>
      </c>
      <c r="F454" s="2" t="str">
        <f t="shared" ca="1" si="88"/>
        <v>Customer Support</v>
      </c>
      <c r="G454" s="2" t="str">
        <f t="shared" ca="1" si="89"/>
        <v>Supervisor</v>
      </c>
      <c r="H454" s="2" t="str">
        <f t="shared" ca="1" si="90"/>
        <v>Shoes</v>
      </c>
      <c r="I454" s="2">
        <f t="shared" ca="1" si="91"/>
        <v>20</v>
      </c>
      <c r="J454" s="2">
        <f t="shared" ca="1" si="92"/>
        <v>12660</v>
      </c>
      <c r="K454" s="2">
        <f t="shared" ca="1" si="93"/>
        <v>253.2</v>
      </c>
      <c r="L454" s="2">
        <f t="shared" ca="1" si="94"/>
        <v>25557</v>
      </c>
      <c r="M454" s="2" t="str">
        <f t="shared" ca="1" si="95"/>
        <v>No</v>
      </c>
    </row>
    <row r="455" spans="1:13" x14ac:dyDescent="0.25">
      <c r="A455" s="2" t="str">
        <f t="shared" si="84"/>
        <v>E454</v>
      </c>
      <c r="B455" s="2" t="s">
        <v>401</v>
      </c>
      <c r="C455" s="2" t="str">
        <f t="shared" ca="1" si="85"/>
        <v>Oct</v>
      </c>
      <c r="D455" s="2" t="str">
        <f t="shared" ca="1" si="86"/>
        <v>East</v>
      </c>
      <c r="E455" s="2" t="str">
        <f t="shared" ca="1" si="87"/>
        <v>Delhi</v>
      </c>
      <c r="F455" s="2" t="str">
        <f t="shared" ca="1" si="88"/>
        <v>Marketing</v>
      </c>
      <c r="G455" s="2" t="str">
        <f t="shared" ca="1" si="89"/>
        <v>Specialist</v>
      </c>
      <c r="H455" s="2" t="str">
        <f t="shared" ca="1" si="90"/>
        <v>Clothing</v>
      </c>
      <c r="I455" s="2">
        <f t="shared" ca="1" si="91"/>
        <v>5</v>
      </c>
      <c r="J455" s="2">
        <f t="shared" ca="1" si="92"/>
        <v>1030</v>
      </c>
      <c r="K455" s="2">
        <f t="shared" ca="1" si="93"/>
        <v>164.8</v>
      </c>
      <c r="L455" s="2">
        <f t="shared" ca="1" si="94"/>
        <v>46640</v>
      </c>
      <c r="M455" s="2" t="str">
        <f t="shared" ca="1" si="95"/>
        <v>No</v>
      </c>
    </row>
    <row r="456" spans="1:13" x14ac:dyDescent="0.25">
      <c r="A456" s="2" t="str">
        <f t="shared" si="84"/>
        <v>E455</v>
      </c>
      <c r="B456" s="2" t="s">
        <v>402</v>
      </c>
      <c r="C456" s="2" t="str">
        <f t="shared" ca="1" si="85"/>
        <v>Aug</v>
      </c>
      <c r="D456" s="2" t="str">
        <f t="shared" ca="1" si="86"/>
        <v>North</v>
      </c>
      <c r="E456" s="2" t="str">
        <f t="shared" ca="1" si="87"/>
        <v>Gujarat</v>
      </c>
      <c r="F456" s="2" t="str">
        <f t="shared" ca="1" si="88"/>
        <v>Sales</v>
      </c>
      <c r="G456" s="2" t="str">
        <f t="shared" ca="1" si="89"/>
        <v>Supervisor</v>
      </c>
      <c r="H456" s="2" t="str">
        <f t="shared" ca="1" si="90"/>
        <v>Electronics</v>
      </c>
      <c r="I456" s="2">
        <f t="shared" ca="1" si="91"/>
        <v>98</v>
      </c>
      <c r="J456" s="2">
        <f t="shared" ca="1" si="92"/>
        <v>41356</v>
      </c>
      <c r="K456" s="2">
        <f t="shared" ca="1" si="93"/>
        <v>10339</v>
      </c>
      <c r="L456" s="2">
        <f t="shared" ca="1" si="94"/>
        <v>15758</v>
      </c>
      <c r="M456" s="2" t="str">
        <f t="shared" ca="1" si="95"/>
        <v>Yes</v>
      </c>
    </row>
    <row r="457" spans="1:13" x14ac:dyDescent="0.25">
      <c r="A457" s="2" t="str">
        <f t="shared" si="84"/>
        <v>E456</v>
      </c>
      <c r="B457" s="2" t="s">
        <v>403</v>
      </c>
      <c r="C457" s="2" t="str">
        <f t="shared" ca="1" si="85"/>
        <v>Dec</v>
      </c>
      <c r="D457" s="2" t="str">
        <f t="shared" ca="1" si="86"/>
        <v>South</v>
      </c>
      <c r="E457" s="2" t="str">
        <f t="shared" ca="1" si="87"/>
        <v>Tamil Nadu</v>
      </c>
      <c r="F457" s="2" t="str">
        <f t="shared" ca="1" si="88"/>
        <v>Finance</v>
      </c>
      <c r="G457" s="2" t="str">
        <f t="shared" ca="1" si="89"/>
        <v>Supervisor</v>
      </c>
      <c r="H457" s="2" t="str">
        <f t="shared" ca="1" si="90"/>
        <v>Electronics</v>
      </c>
      <c r="I457" s="2">
        <f t="shared" ca="1" si="91"/>
        <v>26</v>
      </c>
      <c r="J457" s="2">
        <f t="shared" ca="1" si="92"/>
        <v>18564</v>
      </c>
      <c r="K457" s="2">
        <f t="shared" ca="1" si="93"/>
        <v>1670.76</v>
      </c>
      <c r="L457" s="2">
        <f t="shared" ca="1" si="94"/>
        <v>41519</v>
      </c>
      <c r="M457" s="2" t="str">
        <f t="shared" ca="1" si="95"/>
        <v>No</v>
      </c>
    </row>
    <row r="458" spans="1:13" x14ac:dyDescent="0.25">
      <c r="A458" s="2" t="str">
        <f t="shared" si="84"/>
        <v>E457</v>
      </c>
      <c r="B458" s="2" t="s">
        <v>404</v>
      </c>
      <c r="C458" s="2" t="str">
        <f t="shared" ca="1" si="85"/>
        <v>Aug</v>
      </c>
      <c r="D458" s="2" t="str">
        <f t="shared" ca="1" si="86"/>
        <v>North</v>
      </c>
      <c r="E458" s="2" t="str">
        <f t="shared" ca="1" si="87"/>
        <v>Tamil Nadu</v>
      </c>
      <c r="F458" s="2" t="str">
        <f t="shared" ca="1" si="88"/>
        <v>HR</v>
      </c>
      <c r="G458" s="2" t="str">
        <f t="shared" ca="1" si="89"/>
        <v>Specialist</v>
      </c>
      <c r="H458" s="2" t="str">
        <f t="shared" ca="1" si="90"/>
        <v>Clothing</v>
      </c>
      <c r="I458" s="2">
        <f t="shared" ca="1" si="91"/>
        <v>68</v>
      </c>
      <c r="J458" s="2">
        <f t="shared" ca="1" si="92"/>
        <v>54196</v>
      </c>
      <c r="K458" s="2">
        <f t="shared" ca="1" si="93"/>
        <v>16258.8</v>
      </c>
      <c r="L458" s="2">
        <f t="shared" ca="1" si="94"/>
        <v>22462</v>
      </c>
      <c r="M458" s="2" t="str">
        <f t="shared" ca="1" si="95"/>
        <v>Yes</v>
      </c>
    </row>
    <row r="459" spans="1:13" x14ac:dyDescent="0.25">
      <c r="A459" s="2" t="str">
        <f t="shared" si="84"/>
        <v>E458</v>
      </c>
      <c r="B459" s="2" t="s">
        <v>39</v>
      </c>
      <c r="C459" s="2" t="str">
        <f t="shared" ca="1" si="85"/>
        <v>Jul</v>
      </c>
      <c r="D459" s="2" t="str">
        <f t="shared" ca="1" si="86"/>
        <v>South</v>
      </c>
      <c r="E459" s="2" t="str">
        <f t="shared" ca="1" si="87"/>
        <v>Madhya Pradesh</v>
      </c>
      <c r="F459" s="2" t="str">
        <f t="shared" ca="1" si="88"/>
        <v>Customer Support</v>
      </c>
      <c r="G459" s="2" t="str">
        <f t="shared" ca="1" si="89"/>
        <v>Specialist</v>
      </c>
      <c r="H459" s="2" t="str">
        <f t="shared" ca="1" si="90"/>
        <v>Books</v>
      </c>
      <c r="I459" s="2">
        <f t="shared" ca="1" si="91"/>
        <v>96</v>
      </c>
      <c r="J459" s="2">
        <f t="shared" ca="1" si="92"/>
        <v>62304</v>
      </c>
      <c r="K459" s="2">
        <f t="shared" ca="1" si="93"/>
        <v>-4984.32</v>
      </c>
      <c r="L459" s="2">
        <f t="shared" ca="1" si="94"/>
        <v>36353</v>
      </c>
      <c r="M459" s="2" t="str">
        <f t="shared" ca="1" si="95"/>
        <v>Yes</v>
      </c>
    </row>
    <row r="460" spans="1:13" x14ac:dyDescent="0.25">
      <c r="A460" s="2" t="str">
        <f t="shared" si="84"/>
        <v>E459</v>
      </c>
      <c r="B460" s="2" t="s">
        <v>405</v>
      </c>
      <c r="C460" s="2" t="str">
        <f t="shared" ca="1" si="85"/>
        <v>May</v>
      </c>
      <c r="D460" s="2" t="str">
        <f t="shared" ca="1" si="86"/>
        <v>West</v>
      </c>
      <c r="E460" s="2" t="str">
        <f t="shared" ca="1" si="87"/>
        <v>Madhya Pradesh</v>
      </c>
      <c r="F460" s="2" t="str">
        <f t="shared" ca="1" si="88"/>
        <v>Customer Support</v>
      </c>
      <c r="G460" s="2" t="str">
        <f t="shared" ca="1" si="89"/>
        <v>Supervisor</v>
      </c>
      <c r="H460" s="2" t="str">
        <f t="shared" ca="1" si="90"/>
        <v>Electronics</v>
      </c>
      <c r="I460" s="2">
        <f t="shared" ca="1" si="91"/>
        <v>30</v>
      </c>
      <c r="J460" s="2">
        <f t="shared" ca="1" si="92"/>
        <v>26640</v>
      </c>
      <c r="K460" s="2">
        <f t="shared" ca="1" si="93"/>
        <v>799.2</v>
      </c>
      <c r="L460" s="2">
        <f t="shared" ca="1" si="94"/>
        <v>17793</v>
      </c>
      <c r="M460" s="2" t="str">
        <f t="shared" ca="1" si="95"/>
        <v>Yes</v>
      </c>
    </row>
    <row r="461" spans="1:13" x14ac:dyDescent="0.25">
      <c r="A461" s="2" t="str">
        <f t="shared" si="84"/>
        <v>E460</v>
      </c>
      <c r="B461" s="2" t="s">
        <v>406</v>
      </c>
      <c r="C461" s="2" t="str">
        <f t="shared" ca="1" si="85"/>
        <v>Jan</v>
      </c>
      <c r="D461" s="2" t="str">
        <f t="shared" ca="1" si="86"/>
        <v>North</v>
      </c>
      <c r="E461" s="2" t="str">
        <f t="shared" ca="1" si="87"/>
        <v>West Bengal</v>
      </c>
      <c r="F461" s="2" t="str">
        <f t="shared" ca="1" si="88"/>
        <v>Finance</v>
      </c>
      <c r="G461" s="2" t="str">
        <f t="shared" ca="1" si="89"/>
        <v>Analyst</v>
      </c>
      <c r="H461" s="2" t="str">
        <f t="shared" ca="1" si="90"/>
        <v>Electronics</v>
      </c>
      <c r="I461" s="2">
        <f t="shared" ca="1" si="91"/>
        <v>24</v>
      </c>
      <c r="J461" s="2">
        <f t="shared" ca="1" si="92"/>
        <v>7848</v>
      </c>
      <c r="K461" s="2">
        <f t="shared" ca="1" si="93"/>
        <v>549.36</v>
      </c>
      <c r="L461" s="2">
        <f t="shared" ca="1" si="94"/>
        <v>24830</v>
      </c>
      <c r="M461" s="2" t="str">
        <f t="shared" ca="1" si="95"/>
        <v>No</v>
      </c>
    </row>
    <row r="462" spans="1:13" x14ac:dyDescent="0.25">
      <c r="A462" s="2" t="str">
        <f t="shared" si="84"/>
        <v>E461</v>
      </c>
      <c r="B462" s="2" t="s">
        <v>407</v>
      </c>
      <c r="C462" s="2" t="str">
        <f t="shared" ca="1" si="85"/>
        <v>Apr</v>
      </c>
      <c r="D462" s="2" t="str">
        <f t="shared" ca="1" si="86"/>
        <v>North</v>
      </c>
      <c r="E462" s="2" t="str">
        <f t="shared" ca="1" si="87"/>
        <v>Delhi</v>
      </c>
      <c r="F462" s="2" t="str">
        <f t="shared" ca="1" si="88"/>
        <v>Finance</v>
      </c>
      <c r="G462" s="2" t="str">
        <f t="shared" ca="1" si="89"/>
        <v>Specialist</v>
      </c>
      <c r="H462" s="2" t="str">
        <f t="shared" ca="1" si="90"/>
        <v>Clothing</v>
      </c>
      <c r="I462" s="2">
        <f t="shared" ca="1" si="91"/>
        <v>59</v>
      </c>
      <c r="J462" s="2">
        <f t="shared" ca="1" si="92"/>
        <v>41005</v>
      </c>
      <c r="K462" s="2">
        <f t="shared" ca="1" si="93"/>
        <v>8611.0499999999993</v>
      </c>
      <c r="L462" s="2">
        <f t="shared" ca="1" si="94"/>
        <v>11830</v>
      </c>
      <c r="M462" s="2" t="str">
        <f t="shared" ca="1" si="95"/>
        <v>Yes</v>
      </c>
    </row>
    <row r="463" spans="1:13" x14ac:dyDescent="0.25">
      <c r="A463" s="2" t="str">
        <f t="shared" si="84"/>
        <v>E462</v>
      </c>
      <c r="B463" s="2" t="s">
        <v>408</v>
      </c>
      <c r="C463" s="2" t="str">
        <f t="shared" ca="1" si="85"/>
        <v>May</v>
      </c>
      <c r="D463" s="2" t="str">
        <f t="shared" ca="1" si="86"/>
        <v>South</v>
      </c>
      <c r="E463" s="2" t="str">
        <f t="shared" ca="1" si="87"/>
        <v>Delhi</v>
      </c>
      <c r="F463" s="2" t="str">
        <f t="shared" ca="1" si="88"/>
        <v>Customer Support</v>
      </c>
      <c r="G463" s="2" t="str">
        <f t="shared" ca="1" si="89"/>
        <v>Supervisor</v>
      </c>
      <c r="H463" s="2" t="str">
        <f t="shared" ca="1" si="90"/>
        <v>Clothing</v>
      </c>
      <c r="I463" s="2">
        <f t="shared" ca="1" si="91"/>
        <v>12</v>
      </c>
      <c r="J463" s="2">
        <f t="shared" ca="1" si="92"/>
        <v>10320</v>
      </c>
      <c r="K463" s="2">
        <f t="shared" ca="1" si="93"/>
        <v>2683.2</v>
      </c>
      <c r="L463" s="2">
        <f t="shared" ca="1" si="94"/>
        <v>32646</v>
      </c>
      <c r="M463" s="2" t="str">
        <f t="shared" ca="1" si="95"/>
        <v>No</v>
      </c>
    </row>
    <row r="464" spans="1:13" x14ac:dyDescent="0.25">
      <c r="A464" s="2" t="str">
        <f t="shared" si="84"/>
        <v>E463</v>
      </c>
      <c r="B464" s="2" t="s">
        <v>409</v>
      </c>
      <c r="C464" s="2" t="str">
        <f t="shared" ca="1" si="85"/>
        <v>Oct</v>
      </c>
      <c r="D464" s="2" t="str">
        <f t="shared" ca="1" si="86"/>
        <v>North</v>
      </c>
      <c r="E464" s="2" t="str">
        <f t="shared" ca="1" si="87"/>
        <v>Gujarat</v>
      </c>
      <c r="F464" s="2" t="str">
        <f t="shared" ca="1" si="88"/>
        <v>Sales</v>
      </c>
      <c r="G464" s="2" t="str">
        <f t="shared" ca="1" si="89"/>
        <v>Analyst</v>
      </c>
      <c r="H464" s="2" t="str">
        <f t="shared" ca="1" si="90"/>
        <v>Books</v>
      </c>
      <c r="I464" s="2">
        <f t="shared" ca="1" si="91"/>
        <v>14</v>
      </c>
      <c r="J464" s="2">
        <f t="shared" ca="1" si="92"/>
        <v>8218</v>
      </c>
      <c r="K464" s="2">
        <f t="shared" ca="1" si="93"/>
        <v>-493.08</v>
      </c>
      <c r="L464" s="2">
        <f t="shared" ca="1" si="94"/>
        <v>12673</v>
      </c>
      <c r="M464" s="2" t="str">
        <f t="shared" ca="1" si="95"/>
        <v>No</v>
      </c>
    </row>
    <row r="465" spans="1:13" x14ac:dyDescent="0.25">
      <c r="A465" s="2" t="str">
        <f t="shared" si="84"/>
        <v>E464</v>
      </c>
      <c r="B465" s="2" t="s">
        <v>410</v>
      </c>
      <c r="C465" s="2" t="str">
        <f t="shared" ca="1" si="85"/>
        <v>Dec</v>
      </c>
      <c r="D465" s="2" t="str">
        <f t="shared" ca="1" si="86"/>
        <v>North</v>
      </c>
      <c r="E465" s="2" t="str">
        <f t="shared" ca="1" si="87"/>
        <v>Delhi</v>
      </c>
      <c r="F465" s="2" t="str">
        <f t="shared" ca="1" si="88"/>
        <v>Marketing</v>
      </c>
      <c r="G465" s="2" t="str">
        <f t="shared" ca="1" si="89"/>
        <v>Supervisor</v>
      </c>
      <c r="H465" s="2" t="str">
        <f t="shared" ca="1" si="90"/>
        <v>Books</v>
      </c>
      <c r="I465" s="2">
        <f t="shared" ca="1" si="91"/>
        <v>67</v>
      </c>
      <c r="J465" s="2">
        <f t="shared" ca="1" si="92"/>
        <v>45292</v>
      </c>
      <c r="K465" s="2">
        <f t="shared" ca="1" si="93"/>
        <v>0</v>
      </c>
      <c r="L465" s="2">
        <f t="shared" ca="1" si="94"/>
        <v>33196</v>
      </c>
      <c r="M465" s="2" t="str">
        <f t="shared" ca="1" si="95"/>
        <v>Yes</v>
      </c>
    </row>
    <row r="466" spans="1:13" x14ac:dyDescent="0.25">
      <c r="A466" s="2" t="str">
        <f t="shared" si="84"/>
        <v>E465</v>
      </c>
      <c r="B466" s="2" t="s">
        <v>411</v>
      </c>
      <c r="C466" s="2" t="str">
        <f t="shared" ca="1" si="85"/>
        <v>Jul</v>
      </c>
      <c r="D466" s="2" t="str">
        <f t="shared" ca="1" si="86"/>
        <v>South</v>
      </c>
      <c r="E466" s="2" t="str">
        <f t="shared" ca="1" si="87"/>
        <v>Gujarat</v>
      </c>
      <c r="F466" s="2" t="str">
        <f t="shared" ca="1" si="88"/>
        <v>Marketing</v>
      </c>
      <c r="G466" s="2" t="str">
        <f t="shared" ca="1" si="89"/>
        <v>Analyst</v>
      </c>
      <c r="H466" s="2" t="str">
        <f t="shared" ca="1" si="90"/>
        <v>Books</v>
      </c>
      <c r="I466" s="2">
        <f t="shared" ca="1" si="91"/>
        <v>93</v>
      </c>
      <c r="J466" s="2">
        <f t="shared" ca="1" si="92"/>
        <v>30690</v>
      </c>
      <c r="K466" s="2">
        <f t="shared" ca="1" si="93"/>
        <v>-1841.4</v>
      </c>
      <c r="L466" s="2">
        <f t="shared" ca="1" si="94"/>
        <v>35699</v>
      </c>
      <c r="M466" s="2" t="str">
        <f t="shared" ca="1" si="95"/>
        <v>No</v>
      </c>
    </row>
    <row r="467" spans="1:13" x14ac:dyDescent="0.25">
      <c r="A467" s="2" t="str">
        <f t="shared" si="84"/>
        <v>E466</v>
      </c>
      <c r="B467" s="2" t="s">
        <v>412</v>
      </c>
      <c r="C467" s="2" t="str">
        <f t="shared" ca="1" si="85"/>
        <v>Mar</v>
      </c>
      <c r="D467" s="2" t="str">
        <f t="shared" ca="1" si="86"/>
        <v>West</v>
      </c>
      <c r="E467" s="2" t="str">
        <f t="shared" ca="1" si="87"/>
        <v>Madhya Pradesh</v>
      </c>
      <c r="F467" s="2" t="str">
        <f t="shared" ca="1" si="88"/>
        <v>Finance</v>
      </c>
      <c r="G467" s="2" t="str">
        <f t="shared" ca="1" si="89"/>
        <v>Executive</v>
      </c>
      <c r="H467" s="2" t="str">
        <f t="shared" ca="1" si="90"/>
        <v>Shoes</v>
      </c>
      <c r="I467" s="2">
        <f t="shared" ca="1" si="91"/>
        <v>31</v>
      </c>
      <c r="J467" s="2">
        <f t="shared" ca="1" si="92"/>
        <v>10974</v>
      </c>
      <c r="K467" s="2">
        <f t="shared" ca="1" si="93"/>
        <v>548.70000000000005</v>
      </c>
      <c r="L467" s="2">
        <f t="shared" ca="1" si="94"/>
        <v>22848</v>
      </c>
      <c r="M467" s="2" t="str">
        <f t="shared" ca="1" si="95"/>
        <v>No</v>
      </c>
    </row>
    <row r="468" spans="1:13" x14ac:dyDescent="0.25">
      <c r="A468" s="2" t="str">
        <f t="shared" si="84"/>
        <v>E467</v>
      </c>
      <c r="B468" s="2" t="s">
        <v>413</v>
      </c>
      <c r="C468" s="2" t="str">
        <f t="shared" ca="1" si="85"/>
        <v>Jul</v>
      </c>
      <c r="D468" s="2" t="str">
        <f t="shared" ca="1" si="86"/>
        <v>East</v>
      </c>
      <c r="E468" s="2" t="str">
        <f t="shared" ca="1" si="87"/>
        <v>Madhya Pradesh</v>
      </c>
      <c r="F468" s="2" t="str">
        <f t="shared" ca="1" si="88"/>
        <v>Marketing</v>
      </c>
      <c r="G468" s="2" t="str">
        <f t="shared" ca="1" si="89"/>
        <v>Analyst</v>
      </c>
      <c r="H468" s="2" t="str">
        <f t="shared" ca="1" si="90"/>
        <v>Shoes</v>
      </c>
      <c r="I468" s="2">
        <f t="shared" ca="1" si="91"/>
        <v>50</v>
      </c>
      <c r="J468" s="2">
        <f t="shared" ca="1" si="92"/>
        <v>23950</v>
      </c>
      <c r="K468" s="2">
        <f t="shared" ca="1" si="93"/>
        <v>5029.5</v>
      </c>
      <c r="L468" s="2">
        <f t="shared" ca="1" si="94"/>
        <v>16614</v>
      </c>
      <c r="M468" s="2" t="str">
        <f t="shared" ca="1" si="95"/>
        <v>Yes</v>
      </c>
    </row>
    <row r="469" spans="1:13" x14ac:dyDescent="0.25">
      <c r="A469" s="2" t="str">
        <f t="shared" si="84"/>
        <v>E468</v>
      </c>
      <c r="B469" s="2" t="s">
        <v>414</v>
      </c>
      <c r="C469" s="2" t="str">
        <f t="shared" ca="1" si="85"/>
        <v>Oct</v>
      </c>
      <c r="D469" s="2" t="str">
        <f t="shared" ca="1" si="86"/>
        <v>North</v>
      </c>
      <c r="E469" s="2" t="str">
        <f t="shared" ca="1" si="87"/>
        <v>West Bengal</v>
      </c>
      <c r="F469" s="2" t="str">
        <f t="shared" ca="1" si="88"/>
        <v>Customer Support</v>
      </c>
      <c r="G469" s="2" t="str">
        <f t="shared" ca="1" si="89"/>
        <v>Specialist</v>
      </c>
      <c r="H469" s="2" t="str">
        <f t="shared" ca="1" si="90"/>
        <v>Electronics</v>
      </c>
      <c r="I469" s="2">
        <f t="shared" ca="1" si="91"/>
        <v>28</v>
      </c>
      <c r="J469" s="2">
        <f t="shared" ca="1" si="92"/>
        <v>22792</v>
      </c>
      <c r="K469" s="2">
        <f t="shared" ca="1" si="93"/>
        <v>2279.1999999999998</v>
      </c>
      <c r="L469" s="2">
        <f t="shared" ca="1" si="94"/>
        <v>40125</v>
      </c>
      <c r="M469" s="2" t="str">
        <f t="shared" ca="1" si="95"/>
        <v>No</v>
      </c>
    </row>
    <row r="470" spans="1:13" x14ac:dyDescent="0.25">
      <c r="A470" s="2" t="str">
        <f t="shared" si="84"/>
        <v>E469</v>
      </c>
      <c r="B470" s="2" t="s">
        <v>415</v>
      </c>
      <c r="C470" s="2" t="str">
        <f t="shared" ca="1" si="85"/>
        <v>Apr</v>
      </c>
      <c r="D470" s="2" t="str">
        <f t="shared" ca="1" si="86"/>
        <v>West</v>
      </c>
      <c r="E470" s="2" t="str">
        <f t="shared" ca="1" si="87"/>
        <v>Delhi</v>
      </c>
      <c r="F470" s="2" t="str">
        <f t="shared" ca="1" si="88"/>
        <v>Operations</v>
      </c>
      <c r="G470" s="2" t="str">
        <f t="shared" ca="1" si="89"/>
        <v>Analyst</v>
      </c>
      <c r="H470" s="2" t="str">
        <f t="shared" ca="1" si="90"/>
        <v>Electronics</v>
      </c>
      <c r="I470" s="2">
        <f t="shared" ca="1" si="91"/>
        <v>61</v>
      </c>
      <c r="J470" s="2">
        <f t="shared" ca="1" si="92"/>
        <v>17263</v>
      </c>
      <c r="K470" s="2">
        <f t="shared" ca="1" si="93"/>
        <v>517.89</v>
      </c>
      <c r="L470" s="2">
        <f t="shared" ca="1" si="94"/>
        <v>29887</v>
      </c>
      <c r="M470" s="2" t="str">
        <f t="shared" ca="1" si="95"/>
        <v>No</v>
      </c>
    </row>
    <row r="471" spans="1:13" x14ac:dyDescent="0.25">
      <c r="A471" s="2" t="str">
        <f t="shared" si="84"/>
        <v>E470</v>
      </c>
      <c r="B471" s="2" t="s">
        <v>416</v>
      </c>
      <c r="C471" s="2" t="str">
        <f t="shared" ca="1" si="85"/>
        <v>Mar</v>
      </c>
      <c r="D471" s="2" t="str">
        <f t="shared" ca="1" si="86"/>
        <v>North</v>
      </c>
      <c r="E471" s="2" t="str">
        <f t="shared" ca="1" si="87"/>
        <v>Madhya Pradesh</v>
      </c>
      <c r="F471" s="2" t="str">
        <f t="shared" ca="1" si="88"/>
        <v>Finance</v>
      </c>
      <c r="G471" s="2" t="str">
        <f t="shared" ca="1" si="89"/>
        <v>Analyst</v>
      </c>
      <c r="H471" s="2" t="str">
        <f t="shared" ca="1" si="90"/>
        <v>Electronics</v>
      </c>
      <c r="I471" s="2">
        <f t="shared" ca="1" si="91"/>
        <v>97</v>
      </c>
      <c r="J471" s="2">
        <f t="shared" ca="1" si="92"/>
        <v>33659</v>
      </c>
      <c r="K471" s="2">
        <f t="shared" ca="1" si="93"/>
        <v>5385.44</v>
      </c>
      <c r="L471" s="2">
        <f t="shared" ca="1" si="94"/>
        <v>19925</v>
      </c>
      <c r="M471" s="2" t="str">
        <f t="shared" ca="1" si="95"/>
        <v>Yes</v>
      </c>
    </row>
    <row r="472" spans="1:13" x14ac:dyDescent="0.25">
      <c r="A472" s="2" t="str">
        <f t="shared" si="84"/>
        <v>E471</v>
      </c>
      <c r="B472" s="2" t="s">
        <v>417</v>
      </c>
      <c r="C472" s="2" t="str">
        <f t="shared" ca="1" si="85"/>
        <v>Oct</v>
      </c>
      <c r="D472" s="2" t="str">
        <f t="shared" ca="1" si="86"/>
        <v>West</v>
      </c>
      <c r="E472" s="2" t="str">
        <f t="shared" ca="1" si="87"/>
        <v>Madhya Pradesh</v>
      </c>
      <c r="F472" s="2" t="str">
        <f t="shared" ca="1" si="88"/>
        <v>Operations</v>
      </c>
      <c r="G472" s="2" t="str">
        <f t="shared" ca="1" si="89"/>
        <v>Specialist</v>
      </c>
      <c r="H472" s="2" t="str">
        <f t="shared" ca="1" si="90"/>
        <v>Clothing</v>
      </c>
      <c r="I472" s="2">
        <f t="shared" ca="1" si="91"/>
        <v>57</v>
      </c>
      <c r="J472" s="2">
        <f t="shared" ca="1" si="92"/>
        <v>44004</v>
      </c>
      <c r="K472" s="2">
        <f t="shared" ca="1" si="93"/>
        <v>880.08</v>
      </c>
      <c r="L472" s="2">
        <f t="shared" ca="1" si="94"/>
        <v>31162</v>
      </c>
      <c r="M472" s="2" t="str">
        <f t="shared" ca="1" si="95"/>
        <v>Yes</v>
      </c>
    </row>
    <row r="473" spans="1:13" x14ac:dyDescent="0.25">
      <c r="A473" s="2" t="str">
        <f t="shared" si="84"/>
        <v>E472</v>
      </c>
      <c r="B473" s="2" t="s">
        <v>418</v>
      </c>
      <c r="C473" s="2" t="str">
        <f t="shared" ca="1" si="85"/>
        <v>Jul</v>
      </c>
      <c r="D473" s="2" t="str">
        <f t="shared" ca="1" si="86"/>
        <v>West</v>
      </c>
      <c r="E473" s="2" t="str">
        <f t="shared" ca="1" si="87"/>
        <v>Tamil Nadu</v>
      </c>
      <c r="F473" s="2" t="str">
        <f t="shared" ca="1" si="88"/>
        <v>Operations</v>
      </c>
      <c r="G473" s="2" t="str">
        <f t="shared" ca="1" si="89"/>
        <v>Supervisor</v>
      </c>
      <c r="H473" s="2" t="str">
        <f t="shared" ca="1" si="90"/>
        <v>Books</v>
      </c>
      <c r="I473" s="2">
        <f t="shared" ca="1" si="91"/>
        <v>78</v>
      </c>
      <c r="J473" s="2">
        <f t="shared" ca="1" si="92"/>
        <v>53820</v>
      </c>
      <c r="K473" s="2">
        <f t="shared" ca="1" si="93"/>
        <v>8073</v>
      </c>
      <c r="L473" s="2">
        <f t="shared" ca="1" si="94"/>
        <v>42123</v>
      </c>
      <c r="M473" s="2" t="str">
        <f t="shared" ca="1" si="95"/>
        <v>Yes</v>
      </c>
    </row>
    <row r="474" spans="1:13" x14ac:dyDescent="0.25">
      <c r="A474" s="2" t="str">
        <f t="shared" si="84"/>
        <v>E473</v>
      </c>
      <c r="B474" s="2" t="s">
        <v>419</v>
      </c>
      <c r="C474" s="2" t="str">
        <f t="shared" ca="1" si="85"/>
        <v>Jun</v>
      </c>
      <c r="D474" s="2" t="str">
        <f t="shared" ca="1" si="86"/>
        <v>South</v>
      </c>
      <c r="E474" s="2" t="str">
        <f t="shared" ca="1" si="87"/>
        <v>Madhya Pradesh</v>
      </c>
      <c r="F474" s="2" t="str">
        <f t="shared" ca="1" si="88"/>
        <v>Finance</v>
      </c>
      <c r="G474" s="2" t="str">
        <f t="shared" ca="1" si="89"/>
        <v>Executive</v>
      </c>
      <c r="H474" s="2" t="str">
        <f t="shared" ca="1" si="90"/>
        <v>Books</v>
      </c>
      <c r="I474" s="2">
        <f t="shared" ca="1" si="91"/>
        <v>43</v>
      </c>
      <c r="J474" s="2">
        <f t="shared" ca="1" si="92"/>
        <v>22532</v>
      </c>
      <c r="K474" s="2">
        <f t="shared" ca="1" si="93"/>
        <v>5633</v>
      </c>
      <c r="L474" s="2">
        <f t="shared" ca="1" si="94"/>
        <v>29665</v>
      </c>
      <c r="M474" s="2" t="str">
        <f t="shared" ca="1" si="95"/>
        <v>No</v>
      </c>
    </row>
    <row r="475" spans="1:13" x14ac:dyDescent="0.25">
      <c r="A475" s="2" t="str">
        <f t="shared" si="84"/>
        <v>E474</v>
      </c>
      <c r="B475" s="2" t="s">
        <v>420</v>
      </c>
      <c r="C475" s="2" t="str">
        <f t="shared" ca="1" si="85"/>
        <v>Sep</v>
      </c>
      <c r="D475" s="2" t="str">
        <f t="shared" ca="1" si="86"/>
        <v>North</v>
      </c>
      <c r="E475" s="2" t="str">
        <f t="shared" ca="1" si="87"/>
        <v>Gujarat</v>
      </c>
      <c r="F475" s="2" t="str">
        <f t="shared" ca="1" si="88"/>
        <v>Marketing</v>
      </c>
      <c r="G475" s="2" t="str">
        <f t="shared" ca="1" si="89"/>
        <v>Analyst</v>
      </c>
      <c r="H475" s="2" t="str">
        <f t="shared" ca="1" si="90"/>
        <v>Books</v>
      </c>
      <c r="I475" s="2">
        <f t="shared" ca="1" si="91"/>
        <v>86</v>
      </c>
      <c r="J475" s="2">
        <f t="shared" ca="1" si="92"/>
        <v>20124</v>
      </c>
      <c r="K475" s="2">
        <f t="shared" ca="1" si="93"/>
        <v>-1408.68</v>
      </c>
      <c r="L475" s="2">
        <f t="shared" ca="1" si="94"/>
        <v>38773</v>
      </c>
      <c r="M475" s="2" t="str">
        <f t="shared" ca="1" si="95"/>
        <v>No</v>
      </c>
    </row>
    <row r="476" spans="1:13" x14ac:dyDescent="0.25">
      <c r="A476" s="2" t="str">
        <f t="shared" si="84"/>
        <v>E475</v>
      </c>
      <c r="B476" s="2" t="s">
        <v>53</v>
      </c>
      <c r="C476" s="2" t="str">
        <f t="shared" ca="1" si="85"/>
        <v>Mar</v>
      </c>
      <c r="D476" s="2" t="str">
        <f t="shared" ca="1" si="86"/>
        <v>West</v>
      </c>
      <c r="E476" s="2" t="str">
        <f t="shared" ca="1" si="87"/>
        <v>Madhya Pradesh</v>
      </c>
      <c r="F476" s="2" t="str">
        <f t="shared" ca="1" si="88"/>
        <v>Finance</v>
      </c>
      <c r="G476" s="2" t="str">
        <f t="shared" ca="1" si="89"/>
        <v>Executive</v>
      </c>
      <c r="H476" s="2" t="str">
        <f t="shared" ca="1" si="90"/>
        <v>Electronics</v>
      </c>
      <c r="I476" s="2">
        <f t="shared" ca="1" si="91"/>
        <v>71</v>
      </c>
      <c r="J476" s="2">
        <f t="shared" ca="1" si="92"/>
        <v>58859</v>
      </c>
      <c r="K476" s="2">
        <f t="shared" ca="1" si="93"/>
        <v>2942.95</v>
      </c>
      <c r="L476" s="2">
        <f t="shared" ca="1" si="94"/>
        <v>36399</v>
      </c>
      <c r="M476" s="2" t="str">
        <f t="shared" ca="1" si="95"/>
        <v>Yes</v>
      </c>
    </row>
    <row r="477" spans="1:13" x14ac:dyDescent="0.25">
      <c r="A477" s="2" t="str">
        <f t="shared" si="84"/>
        <v>E476</v>
      </c>
      <c r="B477" s="2" t="s">
        <v>421</v>
      </c>
      <c r="C477" s="2" t="str">
        <f t="shared" ca="1" si="85"/>
        <v>Aug</v>
      </c>
      <c r="D477" s="2" t="str">
        <f t="shared" ca="1" si="86"/>
        <v>North</v>
      </c>
      <c r="E477" s="2" t="str">
        <f t="shared" ca="1" si="87"/>
        <v>Tamil Nadu</v>
      </c>
      <c r="F477" s="2" t="str">
        <f t="shared" ca="1" si="88"/>
        <v>Customer Support</v>
      </c>
      <c r="G477" s="2" t="str">
        <f t="shared" ca="1" si="89"/>
        <v>Supervisor</v>
      </c>
      <c r="H477" s="2" t="str">
        <f t="shared" ca="1" si="90"/>
        <v>Electronics</v>
      </c>
      <c r="I477" s="2">
        <f t="shared" ca="1" si="91"/>
        <v>74</v>
      </c>
      <c r="J477" s="2">
        <f t="shared" ca="1" si="92"/>
        <v>16280</v>
      </c>
      <c r="K477" s="2">
        <f t="shared" ca="1" si="93"/>
        <v>3907.2</v>
      </c>
      <c r="L477" s="2">
        <f t="shared" ca="1" si="94"/>
        <v>12244</v>
      </c>
      <c r="M477" s="2" t="str">
        <f t="shared" ca="1" si="95"/>
        <v>Yes</v>
      </c>
    </row>
    <row r="478" spans="1:13" x14ac:dyDescent="0.25">
      <c r="A478" s="2" t="str">
        <f t="shared" si="84"/>
        <v>E477</v>
      </c>
      <c r="B478" s="2" t="s">
        <v>422</v>
      </c>
      <c r="C478" s="2" t="str">
        <f t="shared" ca="1" si="85"/>
        <v>Oct</v>
      </c>
      <c r="D478" s="2" t="str">
        <f t="shared" ca="1" si="86"/>
        <v>West</v>
      </c>
      <c r="E478" s="2" t="str">
        <f t="shared" ca="1" si="87"/>
        <v>West Bengal</v>
      </c>
      <c r="F478" s="2" t="str">
        <f t="shared" ca="1" si="88"/>
        <v>Finance</v>
      </c>
      <c r="G478" s="2" t="str">
        <f t="shared" ca="1" si="89"/>
        <v>Analyst</v>
      </c>
      <c r="H478" s="2" t="str">
        <f t="shared" ca="1" si="90"/>
        <v>Books</v>
      </c>
      <c r="I478" s="2">
        <f t="shared" ca="1" si="91"/>
        <v>93</v>
      </c>
      <c r="J478" s="2">
        <f t="shared" ca="1" si="92"/>
        <v>43245</v>
      </c>
      <c r="K478" s="2">
        <f t="shared" ca="1" si="93"/>
        <v>-1297.3499999999999</v>
      </c>
      <c r="L478" s="2">
        <f t="shared" ca="1" si="94"/>
        <v>23031</v>
      </c>
      <c r="M478" s="2" t="str">
        <f t="shared" ca="1" si="95"/>
        <v>Yes</v>
      </c>
    </row>
    <row r="479" spans="1:13" x14ac:dyDescent="0.25">
      <c r="A479" s="2" t="str">
        <f t="shared" si="84"/>
        <v>E478</v>
      </c>
      <c r="B479" s="2" t="s">
        <v>423</v>
      </c>
      <c r="C479" s="2" t="str">
        <f t="shared" ca="1" si="85"/>
        <v>Apr</v>
      </c>
      <c r="D479" s="2" t="str">
        <f t="shared" ca="1" si="86"/>
        <v>North</v>
      </c>
      <c r="E479" s="2" t="str">
        <f t="shared" ca="1" si="87"/>
        <v>West Bengal</v>
      </c>
      <c r="F479" s="2" t="str">
        <f t="shared" ca="1" si="88"/>
        <v>Finance</v>
      </c>
      <c r="G479" s="2" t="str">
        <f t="shared" ca="1" si="89"/>
        <v>Specialist</v>
      </c>
      <c r="H479" s="2" t="str">
        <f t="shared" ca="1" si="90"/>
        <v>Clothing</v>
      </c>
      <c r="I479" s="2">
        <f t="shared" ca="1" si="91"/>
        <v>28</v>
      </c>
      <c r="J479" s="2">
        <f t="shared" ca="1" si="92"/>
        <v>27020</v>
      </c>
      <c r="K479" s="2">
        <f t="shared" ca="1" si="93"/>
        <v>1351</v>
      </c>
      <c r="L479" s="2">
        <f t="shared" ca="1" si="94"/>
        <v>18020</v>
      </c>
      <c r="M479" s="2" t="str">
        <f t="shared" ca="1" si="95"/>
        <v>Yes</v>
      </c>
    </row>
    <row r="480" spans="1:13" x14ac:dyDescent="0.25">
      <c r="A480" s="2" t="str">
        <f t="shared" si="84"/>
        <v>E479</v>
      </c>
      <c r="B480" s="2" t="s">
        <v>49</v>
      </c>
      <c r="C480" s="2" t="str">
        <f t="shared" ca="1" si="85"/>
        <v>Jun</v>
      </c>
      <c r="D480" s="2" t="str">
        <f t="shared" ca="1" si="86"/>
        <v>North</v>
      </c>
      <c r="E480" s="2" t="str">
        <f t="shared" ca="1" si="87"/>
        <v>West Bengal</v>
      </c>
      <c r="F480" s="2" t="str">
        <f t="shared" ca="1" si="88"/>
        <v>Sales</v>
      </c>
      <c r="G480" s="2" t="str">
        <f t="shared" ca="1" si="89"/>
        <v>Supervisor</v>
      </c>
      <c r="H480" s="2" t="str">
        <f t="shared" ca="1" si="90"/>
        <v>Books</v>
      </c>
      <c r="I480" s="2">
        <f t="shared" ca="1" si="91"/>
        <v>81</v>
      </c>
      <c r="J480" s="2">
        <f t="shared" ca="1" si="92"/>
        <v>72171</v>
      </c>
      <c r="K480" s="2">
        <f t="shared" ca="1" si="93"/>
        <v>-2165.13</v>
      </c>
      <c r="L480" s="2">
        <f t="shared" ca="1" si="94"/>
        <v>20238</v>
      </c>
      <c r="M480" s="2" t="str">
        <f t="shared" ca="1" si="95"/>
        <v>Yes</v>
      </c>
    </row>
    <row r="481" spans="1:13" x14ac:dyDescent="0.25">
      <c r="A481" s="2" t="str">
        <f t="shared" si="84"/>
        <v>E480</v>
      </c>
      <c r="B481" s="2" t="s">
        <v>424</v>
      </c>
      <c r="C481" s="2" t="str">
        <f t="shared" ca="1" si="85"/>
        <v>May</v>
      </c>
      <c r="D481" s="2" t="str">
        <f t="shared" ca="1" si="86"/>
        <v>South</v>
      </c>
      <c r="E481" s="2" t="str">
        <f t="shared" ca="1" si="87"/>
        <v>Punjab</v>
      </c>
      <c r="F481" s="2" t="str">
        <f t="shared" ca="1" si="88"/>
        <v>Finance</v>
      </c>
      <c r="G481" s="2" t="str">
        <f t="shared" ca="1" si="89"/>
        <v>Executive</v>
      </c>
      <c r="H481" s="2" t="str">
        <f t="shared" ca="1" si="90"/>
        <v>Shoes</v>
      </c>
      <c r="I481" s="2">
        <f t="shared" ca="1" si="91"/>
        <v>85</v>
      </c>
      <c r="J481" s="2">
        <f t="shared" ca="1" si="92"/>
        <v>85000</v>
      </c>
      <c r="K481" s="2">
        <f t="shared" ca="1" si="93"/>
        <v>8500</v>
      </c>
      <c r="L481" s="2">
        <f t="shared" ca="1" si="94"/>
        <v>41981</v>
      </c>
      <c r="M481" s="2" t="str">
        <f t="shared" ca="1" si="95"/>
        <v>Yes</v>
      </c>
    </row>
    <row r="482" spans="1:13" x14ac:dyDescent="0.25">
      <c r="A482" s="2" t="str">
        <f t="shared" si="84"/>
        <v>E481</v>
      </c>
      <c r="B482" s="2" t="s">
        <v>425</v>
      </c>
      <c r="C482" s="2" t="str">
        <f t="shared" ca="1" si="85"/>
        <v>Dec</v>
      </c>
      <c r="D482" s="2" t="str">
        <f t="shared" ca="1" si="86"/>
        <v>North</v>
      </c>
      <c r="E482" s="2" t="str">
        <f t="shared" ca="1" si="87"/>
        <v>Gujarat</v>
      </c>
      <c r="F482" s="2" t="str">
        <f t="shared" ca="1" si="88"/>
        <v>HR</v>
      </c>
      <c r="G482" s="2" t="str">
        <f t="shared" ca="1" si="89"/>
        <v>Analyst</v>
      </c>
      <c r="H482" s="2" t="str">
        <f t="shared" ca="1" si="90"/>
        <v>Shoes</v>
      </c>
      <c r="I482" s="2">
        <f t="shared" ca="1" si="91"/>
        <v>75</v>
      </c>
      <c r="J482" s="2">
        <f t="shared" ca="1" si="92"/>
        <v>41850</v>
      </c>
      <c r="K482" s="2">
        <f t="shared" ca="1" si="93"/>
        <v>5440.5</v>
      </c>
      <c r="L482" s="2">
        <f t="shared" ca="1" si="94"/>
        <v>42032</v>
      </c>
      <c r="M482" s="2" t="str">
        <f t="shared" ca="1" si="95"/>
        <v>No</v>
      </c>
    </row>
    <row r="483" spans="1:13" x14ac:dyDescent="0.25">
      <c r="A483" s="2" t="str">
        <f t="shared" si="84"/>
        <v>E482</v>
      </c>
      <c r="B483" s="2" t="s">
        <v>11</v>
      </c>
      <c r="C483" s="2" t="str">
        <f t="shared" ca="1" si="85"/>
        <v>Oct</v>
      </c>
      <c r="D483" s="2" t="str">
        <f t="shared" ca="1" si="86"/>
        <v>East</v>
      </c>
      <c r="E483" s="2" t="str">
        <f t="shared" ca="1" si="87"/>
        <v>Tamil Nadu</v>
      </c>
      <c r="F483" s="2" t="str">
        <f t="shared" ca="1" si="88"/>
        <v>Customer Support</v>
      </c>
      <c r="G483" s="2" t="str">
        <f t="shared" ca="1" si="89"/>
        <v>Supervisor</v>
      </c>
      <c r="H483" s="2" t="str">
        <f t="shared" ca="1" si="90"/>
        <v>Shoes</v>
      </c>
      <c r="I483" s="2">
        <f t="shared" ca="1" si="91"/>
        <v>41</v>
      </c>
      <c r="J483" s="2">
        <f t="shared" ca="1" si="92"/>
        <v>17507</v>
      </c>
      <c r="K483" s="2">
        <f t="shared" ca="1" si="93"/>
        <v>-1400.56</v>
      </c>
      <c r="L483" s="2">
        <f t="shared" ca="1" si="94"/>
        <v>47846</v>
      </c>
      <c r="M483" s="2" t="str">
        <f t="shared" ca="1" si="95"/>
        <v>No</v>
      </c>
    </row>
    <row r="484" spans="1:13" x14ac:dyDescent="0.25">
      <c r="A484" s="2" t="str">
        <f t="shared" si="84"/>
        <v>E483</v>
      </c>
      <c r="B484" s="2" t="s">
        <v>426</v>
      </c>
      <c r="C484" s="2" t="str">
        <f t="shared" ca="1" si="85"/>
        <v>May</v>
      </c>
      <c r="D484" s="2" t="str">
        <f t="shared" ca="1" si="86"/>
        <v>South</v>
      </c>
      <c r="E484" s="2" t="str">
        <f t="shared" ca="1" si="87"/>
        <v>West Bengal</v>
      </c>
      <c r="F484" s="2" t="str">
        <f t="shared" ca="1" si="88"/>
        <v>Finance</v>
      </c>
      <c r="G484" s="2" t="str">
        <f t="shared" ca="1" si="89"/>
        <v>Supervisor</v>
      </c>
      <c r="H484" s="2" t="str">
        <f t="shared" ca="1" si="90"/>
        <v>Electronics</v>
      </c>
      <c r="I484" s="2">
        <f t="shared" ca="1" si="91"/>
        <v>47</v>
      </c>
      <c r="J484" s="2">
        <f t="shared" ca="1" si="92"/>
        <v>38023</v>
      </c>
      <c r="K484" s="2">
        <f t="shared" ca="1" si="93"/>
        <v>-3802.3</v>
      </c>
      <c r="L484" s="2">
        <f t="shared" ca="1" si="94"/>
        <v>35551</v>
      </c>
      <c r="M484" s="2" t="str">
        <f t="shared" ca="1" si="95"/>
        <v>Yes</v>
      </c>
    </row>
    <row r="485" spans="1:13" x14ac:dyDescent="0.25">
      <c r="A485" s="2" t="str">
        <f t="shared" si="84"/>
        <v>E484</v>
      </c>
      <c r="B485" s="2" t="s">
        <v>427</v>
      </c>
      <c r="C485" s="2" t="str">
        <f t="shared" ca="1" si="85"/>
        <v>Jan</v>
      </c>
      <c r="D485" s="2" t="str">
        <f t="shared" ca="1" si="86"/>
        <v>South</v>
      </c>
      <c r="E485" s="2" t="str">
        <f t="shared" ca="1" si="87"/>
        <v>West Bengal</v>
      </c>
      <c r="F485" s="2" t="str">
        <f t="shared" ca="1" si="88"/>
        <v>Marketing</v>
      </c>
      <c r="G485" s="2" t="str">
        <f t="shared" ca="1" si="89"/>
        <v>Supervisor</v>
      </c>
      <c r="H485" s="2" t="str">
        <f t="shared" ca="1" si="90"/>
        <v>Electronics</v>
      </c>
      <c r="I485" s="2">
        <f t="shared" ca="1" si="91"/>
        <v>98</v>
      </c>
      <c r="J485" s="2">
        <f t="shared" ca="1" si="92"/>
        <v>73304</v>
      </c>
      <c r="K485" s="2">
        <f t="shared" ca="1" si="93"/>
        <v>8796.48</v>
      </c>
      <c r="L485" s="2">
        <f t="shared" ca="1" si="94"/>
        <v>47626</v>
      </c>
      <c r="M485" s="2" t="str">
        <f t="shared" ca="1" si="95"/>
        <v>Yes</v>
      </c>
    </row>
    <row r="486" spans="1:13" x14ac:dyDescent="0.25">
      <c r="A486" s="2" t="str">
        <f t="shared" si="84"/>
        <v>E485</v>
      </c>
      <c r="B486" s="2" t="s">
        <v>428</v>
      </c>
      <c r="C486" s="2" t="str">
        <f t="shared" ca="1" si="85"/>
        <v>Oct</v>
      </c>
      <c r="D486" s="2" t="str">
        <f t="shared" ca="1" si="86"/>
        <v>South</v>
      </c>
      <c r="E486" s="2" t="str">
        <f t="shared" ca="1" si="87"/>
        <v>Punjab</v>
      </c>
      <c r="F486" s="2" t="str">
        <f t="shared" ca="1" si="88"/>
        <v>Marketing</v>
      </c>
      <c r="G486" s="2" t="str">
        <f t="shared" ca="1" si="89"/>
        <v>Specialist</v>
      </c>
      <c r="H486" s="2" t="str">
        <f t="shared" ca="1" si="90"/>
        <v>Electronics</v>
      </c>
      <c r="I486" s="2">
        <f t="shared" ca="1" si="91"/>
        <v>23</v>
      </c>
      <c r="J486" s="2">
        <f t="shared" ca="1" si="92"/>
        <v>20884</v>
      </c>
      <c r="K486" s="2">
        <f t="shared" ca="1" si="93"/>
        <v>-1670.72</v>
      </c>
      <c r="L486" s="2">
        <f t="shared" ca="1" si="94"/>
        <v>11543</v>
      </c>
      <c r="M486" s="2" t="str">
        <f t="shared" ca="1" si="95"/>
        <v>Yes</v>
      </c>
    </row>
    <row r="487" spans="1:13" x14ac:dyDescent="0.25">
      <c r="A487" s="2" t="str">
        <f t="shared" si="84"/>
        <v>E486</v>
      </c>
      <c r="B487" s="2" t="s">
        <v>41</v>
      </c>
      <c r="C487" s="2" t="str">
        <f t="shared" ca="1" si="85"/>
        <v>Jan</v>
      </c>
      <c r="D487" s="2" t="str">
        <f t="shared" ca="1" si="86"/>
        <v>West</v>
      </c>
      <c r="E487" s="2" t="str">
        <f t="shared" ca="1" si="87"/>
        <v>Tamil Nadu</v>
      </c>
      <c r="F487" s="2" t="str">
        <f t="shared" ca="1" si="88"/>
        <v>Sales</v>
      </c>
      <c r="G487" s="2" t="str">
        <f t="shared" ca="1" si="89"/>
        <v>Specialist</v>
      </c>
      <c r="H487" s="2" t="str">
        <f t="shared" ca="1" si="90"/>
        <v>Clothing</v>
      </c>
      <c r="I487" s="2">
        <f t="shared" ca="1" si="91"/>
        <v>53</v>
      </c>
      <c r="J487" s="2">
        <f t="shared" ca="1" si="92"/>
        <v>16006</v>
      </c>
      <c r="K487" s="2">
        <f t="shared" ca="1" si="93"/>
        <v>1920.72</v>
      </c>
      <c r="L487" s="2">
        <f t="shared" ca="1" si="94"/>
        <v>35268</v>
      </c>
      <c r="M487" s="2" t="str">
        <f t="shared" ca="1" si="95"/>
        <v>No</v>
      </c>
    </row>
    <row r="488" spans="1:13" x14ac:dyDescent="0.25">
      <c r="A488" s="2" t="str">
        <f t="shared" si="84"/>
        <v>E487</v>
      </c>
      <c r="B488" s="2" t="s">
        <v>429</v>
      </c>
      <c r="C488" s="2" t="str">
        <f t="shared" ca="1" si="85"/>
        <v>Oct</v>
      </c>
      <c r="D488" s="2" t="str">
        <f t="shared" ca="1" si="86"/>
        <v>North</v>
      </c>
      <c r="E488" s="2" t="str">
        <f t="shared" ca="1" si="87"/>
        <v>Delhi</v>
      </c>
      <c r="F488" s="2" t="str">
        <f t="shared" ca="1" si="88"/>
        <v>Operations</v>
      </c>
      <c r="G488" s="2" t="str">
        <f t="shared" ca="1" si="89"/>
        <v>Supervisor</v>
      </c>
      <c r="H488" s="2" t="str">
        <f t="shared" ca="1" si="90"/>
        <v>Clothing</v>
      </c>
      <c r="I488" s="2">
        <f t="shared" ca="1" si="91"/>
        <v>38</v>
      </c>
      <c r="J488" s="2">
        <f t="shared" ca="1" si="92"/>
        <v>8778</v>
      </c>
      <c r="K488" s="2">
        <f t="shared" ca="1" si="93"/>
        <v>-877.8</v>
      </c>
      <c r="L488" s="2">
        <f t="shared" ca="1" si="94"/>
        <v>11697</v>
      </c>
      <c r="M488" s="2" t="str">
        <f t="shared" ca="1" si="95"/>
        <v>No</v>
      </c>
    </row>
    <row r="489" spans="1:13" x14ac:dyDescent="0.25">
      <c r="A489" s="2" t="str">
        <f t="shared" si="84"/>
        <v>E488</v>
      </c>
      <c r="B489" s="2" t="s">
        <v>430</v>
      </c>
      <c r="C489" s="2" t="str">
        <f t="shared" ca="1" si="85"/>
        <v>Jan</v>
      </c>
      <c r="D489" s="2" t="str">
        <f t="shared" ca="1" si="86"/>
        <v>South</v>
      </c>
      <c r="E489" s="2" t="str">
        <f t="shared" ca="1" si="87"/>
        <v>Gujarat</v>
      </c>
      <c r="F489" s="2" t="str">
        <f t="shared" ca="1" si="88"/>
        <v>Finance</v>
      </c>
      <c r="G489" s="2" t="str">
        <f t="shared" ca="1" si="89"/>
        <v>Executive</v>
      </c>
      <c r="H489" s="2" t="str">
        <f t="shared" ca="1" si="90"/>
        <v>Clothing</v>
      </c>
      <c r="I489" s="2">
        <f t="shared" ca="1" si="91"/>
        <v>40</v>
      </c>
      <c r="J489" s="2">
        <f t="shared" ca="1" si="92"/>
        <v>32560</v>
      </c>
      <c r="K489" s="2">
        <f t="shared" ca="1" si="93"/>
        <v>9116.7999999999993</v>
      </c>
      <c r="L489" s="2">
        <f t="shared" ca="1" si="94"/>
        <v>23419</v>
      </c>
      <c r="M489" s="2" t="str">
        <f t="shared" ca="1" si="95"/>
        <v>Yes</v>
      </c>
    </row>
    <row r="490" spans="1:13" x14ac:dyDescent="0.25">
      <c r="A490" s="2" t="str">
        <f t="shared" si="84"/>
        <v>E489</v>
      </c>
      <c r="B490" s="2" t="s">
        <v>431</v>
      </c>
      <c r="C490" s="2" t="str">
        <f t="shared" ca="1" si="85"/>
        <v>Sep</v>
      </c>
      <c r="D490" s="2" t="str">
        <f t="shared" ca="1" si="86"/>
        <v>North</v>
      </c>
      <c r="E490" s="2" t="str">
        <f t="shared" ca="1" si="87"/>
        <v>Delhi</v>
      </c>
      <c r="F490" s="2" t="str">
        <f t="shared" ca="1" si="88"/>
        <v>HR</v>
      </c>
      <c r="G490" s="2" t="str">
        <f t="shared" ca="1" si="89"/>
        <v>Executive</v>
      </c>
      <c r="H490" s="2" t="str">
        <f t="shared" ca="1" si="90"/>
        <v>Shoes</v>
      </c>
      <c r="I490" s="2">
        <f t="shared" ca="1" si="91"/>
        <v>6</v>
      </c>
      <c r="J490" s="2">
        <f t="shared" ca="1" si="92"/>
        <v>4404</v>
      </c>
      <c r="K490" s="2">
        <f t="shared" ca="1" si="93"/>
        <v>88.08</v>
      </c>
      <c r="L490" s="2">
        <f t="shared" ca="1" si="94"/>
        <v>20446</v>
      </c>
      <c r="M490" s="2" t="str">
        <f t="shared" ca="1" si="95"/>
        <v>No</v>
      </c>
    </row>
    <row r="491" spans="1:13" x14ac:dyDescent="0.25">
      <c r="A491" s="2" t="str">
        <f t="shared" si="84"/>
        <v>E490</v>
      </c>
      <c r="B491" s="2" t="s">
        <v>432</v>
      </c>
      <c r="C491" s="2" t="str">
        <f t="shared" ca="1" si="85"/>
        <v>Jan</v>
      </c>
      <c r="D491" s="2" t="str">
        <f t="shared" ca="1" si="86"/>
        <v>South</v>
      </c>
      <c r="E491" s="2" t="str">
        <f t="shared" ca="1" si="87"/>
        <v>West Bengal</v>
      </c>
      <c r="F491" s="2" t="str">
        <f t="shared" ca="1" si="88"/>
        <v>HR</v>
      </c>
      <c r="G491" s="2" t="str">
        <f t="shared" ca="1" si="89"/>
        <v>Executive</v>
      </c>
      <c r="H491" s="2" t="str">
        <f t="shared" ca="1" si="90"/>
        <v>Clothing</v>
      </c>
      <c r="I491" s="2">
        <f t="shared" ca="1" si="91"/>
        <v>36</v>
      </c>
      <c r="J491" s="2">
        <f t="shared" ca="1" si="92"/>
        <v>23688</v>
      </c>
      <c r="K491" s="2">
        <f t="shared" ca="1" si="93"/>
        <v>1895.04</v>
      </c>
      <c r="L491" s="2">
        <f t="shared" ca="1" si="94"/>
        <v>18351</v>
      </c>
      <c r="M491" s="2" t="str">
        <f t="shared" ca="1" si="95"/>
        <v>Yes</v>
      </c>
    </row>
    <row r="492" spans="1:13" x14ac:dyDescent="0.25">
      <c r="A492" s="2" t="str">
        <f t="shared" si="84"/>
        <v>E491</v>
      </c>
      <c r="B492" s="2" t="s">
        <v>272</v>
      </c>
      <c r="C492" s="2" t="str">
        <f t="shared" ca="1" si="85"/>
        <v>Sep</v>
      </c>
      <c r="D492" s="2" t="str">
        <f t="shared" ca="1" si="86"/>
        <v>West</v>
      </c>
      <c r="E492" s="2" t="str">
        <f t="shared" ca="1" si="87"/>
        <v>Punjab</v>
      </c>
      <c r="F492" s="2" t="str">
        <f t="shared" ca="1" si="88"/>
        <v>Customer Support</v>
      </c>
      <c r="G492" s="2" t="str">
        <f t="shared" ca="1" si="89"/>
        <v>Executive</v>
      </c>
      <c r="H492" s="2" t="str">
        <f t="shared" ca="1" si="90"/>
        <v>Books</v>
      </c>
      <c r="I492" s="2">
        <f t="shared" ca="1" si="91"/>
        <v>44</v>
      </c>
      <c r="J492" s="2">
        <f t="shared" ca="1" si="92"/>
        <v>16808</v>
      </c>
      <c r="K492" s="2">
        <f t="shared" ca="1" si="93"/>
        <v>4706.24</v>
      </c>
      <c r="L492" s="2">
        <f t="shared" ca="1" si="94"/>
        <v>29896</v>
      </c>
      <c r="M492" s="2" t="str">
        <f t="shared" ca="1" si="95"/>
        <v>No</v>
      </c>
    </row>
    <row r="493" spans="1:13" x14ac:dyDescent="0.25">
      <c r="A493" s="2" t="str">
        <f t="shared" si="84"/>
        <v>E492</v>
      </c>
      <c r="B493" s="2" t="s">
        <v>433</v>
      </c>
      <c r="C493" s="2" t="str">
        <f t="shared" ca="1" si="85"/>
        <v>Apr</v>
      </c>
      <c r="D493" s="2" t="str">
        <f t="shared" ca="1" si="86"/>
        <v>East</v>
      </c>
      <c r="E493" s="2" t="str">
        <f t="shared" ca="1" si="87"/>
        <v>Gujarat</v>
      </c>
      <c r="F493" s="2" t="str">
        <f t="shared" ca="1" si="88"/>
        <v>Customer Support</v>
      </c>
      <c r="G493" s="2" t="str">
        <f t="shared" ca="1" si="89"/>
        <v>Supervisor</v>
      </c>
      <c r="H493" s="2" t="str">
        <f t="shared" ca="1" si="90"/>
        <v>Clothing</v>
      </c>
      <c r="I493" s="2">
        <f t="shared" ca="1" si="91"/>
        <v>48</v>
      </c>
      <c r="J493" s="2">
        <f t="shared" ca="1" si="92"/>
        <v>41520</v>
      </c>
      <c r="K493" s="2">
        <f t="shared" ca="1" si="93"/>
        <v>-3736.8</v>
      </c>
      <c r="L493" s="2">
        <f t="shared" ca="1" si="94"/>
        <v>12939</v>
      </c>
      <c r="M493" s="2" t="str">
        <f t="shared" ca="1" si="95"/>
        <v>Yes</v>
      </c>
    </row>
    <row r="494" spans="1:13" x14ac:dyDescent="0.25">
      <c r="A494" s="2" t="str">
        <f t="shared" si="84"/>
        <v>E493</v>
      </c>
      <c r="B494" s="2" t="s">
        <v>434</v>
      </c>
      <c r="C494" s="2" t="str">
        <f t="shared" ca="1" si="85"/>
        <v>Jul</v>
      </c>
      <c r="D494" s="2" t="str">
        <f t="shared" ca="1" si="86"/>
        <v>North</v>
      </c>
      <c r="E494" s="2" t="str">
        <f t="shared" ca="1" si="87"/>
        <v>West Bengal</v>
      </c>
      <c r="F494" s="2" t="str">
        <f t="shared" ca="1" si="88"/>
        <v>Customer Support</v>
      </c>
      <c r="G494" s="2" t="str">
        <f t="shared" ca="1" si="89"/>
        <v>Executive</v>
      </c>
      <c r="H494" s="2" t="str">
        <f t="shared" ca="1" si="90"/>
        <v>Books</v>
      </c>
      <c r="I494" s="2">
        <f t="shared" ca="1" si="91"/>
        <v>66</v>
      </c>
      <c r="J494" s="2">
        <f t="shared" ca="1" si="92"/>
        <v>65604</v>
      </c>
      <c r="K494" s="2">
        <f t="shared" ca="1" si="93"/>
        <v>-5248.32</v>
      </c>
      <c r="L494" s="2">
        <f t="shared" ca="1" si="94"/>
        <v>23090</v>
      </c>
      <c r="M494" s="2" t="str">
        <f t="shared" ca="1" si="95"/>
        <v>Yes</v>
      </c>
    </row>
    <row r="495" spans="1:13" x14ac:dyDescent="0.25">
      <c r="A495" s="2" t="str">
        <f t="shared" si="84"/>
        <v>E494</v>
      </c>
      <c r="B495" s="2" t="s">
        <v>435</v>
      </c>
      <c r="C495" s="2" t="str">
        <f t="shared" ca="1" si="85"/>
        <v>Jan</v>
      </c>
      <c r="D495" s="2" t="str">
        <f t="shared" ca="1" si="86"/>
        <v>East</v>
      </c>
      <c r="E495" s="2" t="str">
        <f t="shared" ca="1" si="87"/>
        <v>West Bengal</v>
      </c>
      <c r="F495" s="2" t="str">
        <f t="shared" ca="1" si="88"/>
        <v>Customer Support</v>
      </c>
      <c r="G495" s="2" t="str">
        <f t="shared" ca="1" si="89"/>
        <v>Specialist</v>
      </c>
      <c r="H495" s="2" t="str">
        <f t="shared" ca="1" si="90"/>
        <v>Books</v>
      </c>
      <c r="I495" s="2">
        <f t="shared" ca="1" si="91"/>
        <v>86</v>
      </c>
      <c r="J495" s="2">
        <f t="shared" ca="1" si="92"/>
        <v>39044</v>
      </c>
      <c r="K495" s="2">
        <f t="shared" ca="1" si="93"/>
        <v>5075.72</v>
      </c>
      <c r="L495" s="2">
        <f t="shared" ca="1" si="94"/>
        <v>24169</v>
      </c>
      <c r="M495" s="2" t="str">
        <f t="shared" ca="1" si="95"/>
        <v>Yes</v>
      </c>
    </row>
    <row r="496" spans="1:13" x14ac:dyDescent="0.25">
      <c r="A496" s="2" t="str">
        <f t="shared" si="84"/>
        <v>E495</v>
      </c>
      <c r="B496" s="2" t="s">
        <v>436</v>
      </c>
      <c r="C496" s="2" t="str">
        <f t="shared" ca="1" si="85"/>
        <v>Aug</v>
      </c>
      <c r="D496" s="2" t="str">
        <f t="shared" ca="1" si="86"/>
        <v>North</v>
      </c>
      <c r="E496" s="2" t="str">
        <f t="shared" ca="1" si="87"/>
        <v>Tamil Nadu</v>
      </c>
      <c r="F496" s="2" t="str">
        <f t="shared" ca="1" si="88"/>
        <v>Sales</v>
      </c>
      <c r="G496" s="2" t="str">
        <f t="shared" ca="1" si="89"/>
        <v>Supervisor</v>
      </c>
      <c r="H496" s="2" t="str">
        <f t="shared" ca="1" si="90"/>
        <v>Shoes</v>
      </c>
      <c r="I496" s="2">
        <f t="shared" ca="1" si="91"/>
        <v>68</v>
      </c>
      <c r="J496" s="2">
        <f t="shared" ca="1" si="92"/>
        <v>56236</v>
      </c>
      <c r="K496" s="2">
        <f t="shared" ca="1" si="93"/>
        <v>2811.8</v>
      </c>
      <c r="L496" s="2">
        <f t="shared" ca="1" si="94"/>
        <v>39703</v>
      </c>
      <c r="M496" s="2" t="str">
        <f t="shared" ca="1" si="95"/>
        <v>Yes</v>
      </c>
    </row>
    <row r="497" spans="1:13" x14ac:dyDescent="0.25">
      <c r="A497" s="2" t="str">
        <f t="shared" si="84"/>
        <v>E496</v>
      </c>
      <c r="B497" s="2" t="s">
        <v>437</v>
      </c>
      <c r="C497" s="2" t="str">
        <f t="shared" ca="1" si="85"/>
        <v>Apr</v>
      </c>
      <c r="D497" s="2" t="str">
        <f t="shared" ca="1" si="86"/>
        <v>West</v>
      </c>
      <c r="E497" s="2" t="str">
        <f t="shared" ca="1" si="87"/>
        <v>Delhi</v>
      </c>
      <c r="F497" s="2" t="str">
        <f t="shared" ca="1" si="88"/>
        <v>Finance</v>
      </c>
      <c r="G497" s="2" t="str">
        <f t="shared" ca="1" si="89"/>
        <v>Analyst</v>
      </c>
      <c r="H497" s="2" t="str">
        <f t="shared" ca="1" si="90"/>
        <v>Clothing</v>
      </c>
      <c r="I497" s="2">
        <f t="shared" ca="1" si="91"/>
        <v>73</v>
      </c>
      <c r="J497" s="2">
        <f t="shared" ca="1" si="92"/>
        <v>50370</v>
      </c>
      <c r="K497" s="2">
        <f t="shared" ca="1" si="93"/>
        <v>0</v>
      </c>
      <c r="L497" s="2">
        <f t="shared" ca="1" si="94"/>
        <v>42077</v>
      </c>
      <c r="M497" s="2" t="str">
        <f t="shared" ca="1" si="95"/>
        <v>Yes</v>
      </c>
    </row>
    <row r="498" spans="1:13" x14ac:dyDescent="0.25">
      <c r="A498" s="2" t="str">
        <f t="shared" si="84"/>
        <v>E497</v>
      </c>
      <c r="B498" s="2" t="s">
        <v>49</v>
      </c>
      <c r="C498" s="2" t="str">
        <f t="shared" ca="1" si="85"/>
        <v>May</v>
      </c>
      <c r="D498" s="2" t="str">
        <f t="shared" ca="1" si="86"/>
        <v>South</v>
      </c>
      <c r="E498" s="2" t="str">
        <f t="shared" ca="1" si="87"/>
        <v>Madhya Pradesh</v>
      </c>
      <c r="F498" s="2" t="str">
        <f t="shared" ca="1" si="88"/>
        <v>Sales</v>
      </c>
      <c r="G498" s="2" t="str">
        <f t="shared" ca="1" si="89"/>
        <v>Analyst</v>
      </c>
      <c r="H498" s="2" t="str">
        <f t="shared" ca="1" si="90"/>
        <v>Books</v>
      </c>
      <c r="I498" s="2">
        <f t="shared" ca="1" si="91"/>
        <v>12</v>
      </c>
      <c r="J498" s="2">
        <f t="shared" ca="1" si="92"/>
        <v>3024</v>
      </c>
      <c r="K498" s="2">
        <f t="shared" ca="1" si="93"/>
        <v>0</v>
      </c>
      <c r="L498" s="2">
        <f t="shared" ca="1" si="94"/>
        <v>23176</v>
      </c>
      <c r="M498" s="2" t="str">
        <f t="shared" ca="1" si="95"/>
        <v>No</v>
      </c>
    </row>
    <row r="499" spans="1:13" x14ac:dyDescent="0.25">
      <c r="A499" s="2" t="str">
        <f t="shared" si="84"/>
        <v>E498</v>
      </c>
      <c r="B499" s="2" t="s">
        <v>438</v>
      </c>
      <c r="C499" s="2" t="str">
        <f t="shared" ca="1" si="85"/>
        <v>Oct</v>
      </c>
      <c r="D499" s="2" t="str">
        <f t="shared" ca="1" si="86"/>
        <v>South</v>
      </c>
      <c r="E499" s="2" t="str">
        <f t="shared" ca="1" si="87"/>
        <v>West Bengal</v>
      </c>
      <c r="F499" s="2" t="str">
        <f t="shared" ca="1" si="88"/>
        <v>Operations</v>
      </c>
      <c r="G499" s="2" t="str">
        <f t="shared" ca="1" si="89"/>
        <v>Analyst</v>
      </c>
      <c r="H499" s="2" t="str">
        <f t="shared" ca="1" si="90"/>
        <v>Books</v>
      </c>
      <c r="I499" s="2">
        <f t="shared" ca="1" si="91"/>
        <v>31</v>
      </c>
      <c r="J499" s="2">
        <f t="shared" ca="1" si="92"/>
        <v>8897</v>
      </c>
      <c r="K499" s="2">
        <f t="shared" ca="1" si="93"/>
        <v>-711.76</v>
      </c>
      <c r="L499" s="2">
        <f t="shared" ca="1" si="94"/>
        <v>34708</v>
      </c>
      <c r="M499" s="2" t="str">
        <f t="shared" ca="1" si="95"/>
        <v>No</v>
      </c>
    </row>
    <row r="500" spans="1:13" x14ac:dyDescent="0.25">
      <c r="A500" s="2" t="str">
        <f t="shared" si="84"/>
        <v>E499</v>
      </c>
      <c r="B500" s="2" t="s">
        <v>63</v>
      </c>
      <c r="C500" s="2" t="str">
        <f t="shared" ca="1" si="85"/>
        <v>Aug</v>
      </c>
      <c r="D500" s="2" t="str">
        <f t="shared" ca="1" si="86"/>
        <v>East</v>
      </c>
      <c r="E500" s="2" t="str">
        <f t="shared" ca="1" si="87"/>
        <v>West Bengal</v>
      </c>
      <c r="F500" s="2" t="str">
        <f t="shared" ca="1" si="88"/>
        <v>Sales</v>
      </c>
      <c r="G500" s="2" t="str">
        <f t="shared" ca="1" si="89"/>
        <v>Specialist</v>
      </c>
      <c r="H500" s="2" t="str">
        <f t="shared" ca="1" si="90"/>
        <v>Shoes</v>
      </c>
      <c r="I500" s="2">
        <f t="shared" ca="1" si="91"/>
        <v>94</v>
      </c>
      <c r="J500" s="2">
        <f t="shared" ca="1" si="92"/>
        <v>80652</v>
      </c>
      <c r="K500" s="2">
        <f t="shared" ca="1" si="93"/>
        <v>-2419.56</v>
      </c>
      <c r="L500" s="2">
        <f t="shared" ca="1" si="94"/>
        <v>43165</v>
      </c>
      <c r="M500" s="2" t="str">
        <f t="shared" ca="1" si="95"/>
        <v>Yes</v>
      </c>
    </row>
    <row r="501" spans="1:13" x14ac:dyDescent="0.25">
      <c r="A501" s="2" t="str">
        <f t="shared" si="84"/>
        <v>E500</v>
      </c>
      <c r="B501" s="2" t="s">
        <v>439</v>
      </c>
      <c r="C501" s="2" t="str">
        <f t="shared" ca="1" si="85"/>
        <v>Nov</v>
      </c>
      <c r="D501" s="2" t="str">
        <f t="shared" ca="1" si="86"/>
        <v>East</v>
      </c>
      <c r="E501" s="2" t="str">
        <f t="shared" ca="1" si="87"/>
        <v>Punjab</v>
      </c>
      <c r="F501" s="2" t="str">
        <f t="shared" ca="1" si="88"/>
        <v>Finance</v>
      </c>
      <c r="G501" s="2" t="str">
        <f t="shared" ca="1" si="89"/>
        <v>Executive</v>
      </c>
      <c r="H501" s="2" t="str">
        <f t="shared" ca="1" si="90"/>
        <v>Shoes</v>
      </c>
      <c r="I501" s="2">
        <f t="shared" ca="1" si="91"/>
        <v>31</v>
      </c>
      <c r="J501" s="2">
        <f t="shared" ca="1" si="92"/>
        <v>12524</v>
      </c>
      <c r="K501" s="2">
        <f t="shared" ca="1" si="93"/>
        <v>626.20000000000005</v>
      </c>
      <c r="L501" s="2">
        <f t="shared" ca="1" si="94"/>
        <v>28427</v>
      </c>
      <c r="M501" s="2" t="str">
        <f t="shared" ca="1" si="95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2025-12-11T03:44:11Z</dcterms:created>
  <dcterms:modified xsi:type="dcterms:W3CDTF">2025-12-11T03:44:11Z</dcterms:modified>
</cp:coreProperties>
</file>